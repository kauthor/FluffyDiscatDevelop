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57B76EE6-75BB-4937-B6C4-A16BE5C307A8}" xr6:coauthVersionLast="47" xr6:coauthVersionMax="47" xr10:uidLastSave="{00000000-0000-0000-0000-000000000000}"/>
  <bookViews>
    <workbookView xWindow="-120" yWindow="-120" windowWidth="38640" windowHeight="21240" activeTab="1" xr2:uid="{F7D75391-0BA2-45E4-A254-DDD6E7E036B2}"/>
  </bookViews>
  <sheets>
    <sheet name="11.Item_Table" sheetId="1" r:id="rId1"/>
    <sheet name="11.아이템 테이블 설명" sheetId="4" r:id="rId2"/>
    <sheet name="12.Box_Table" sheetId="2" r:id="rId3"/>
    <sheet name="13.Gacha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3" l="1"/>
  <c r="F111" i="3"/>
  <c r="F112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54" i="3"/>
  <c r="E3" i="2"/>
  <c r="M3" i="2"/>
  <c r="Q3" i="2"/>
  <c r="Q2" i="2"/>
  <c r="M2" i="2"/>
  <c r="E2" i="2"/>
  <c r="I2" i="2"/>
  <c r="I3" i="2"/>
  <c r="AH71" i="1"/>
  <c r="AH70" i="1"/>
  <c r="AH45" i="1"/>
  <c r="AH46" i="1"/>
  <c r="AH44" i="1"/>
  <c r="AH69" i="1"/>
  <c r="AH43" i="1"/>
  <c r="AH72" i="1"/>
  <c r="AH73" i="1"/>
  <c r="AH74" i="1"/>
  <c r="AH75" i="1"/>
  <c r="AH76" i="1"/>
  <c r="AH77" i="1"/>
  <c r="AH78" i="1"/>
  <c r="AH79" i="1"/>
  <c r="AH80" i="1"/>
  <c r="AH68" i="1" l="1"/>
  <c r="AH67" i="1"/>
  <c r="AH66" i="1"/>
  <c r="AH64" i="1"/>
  <c r="AH65" i="1"/>
  <c r="AH63" i="1"/>
  <c r="AH62" i="1"/>
  <c r="AH61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3" i="1"/>
  <c r="K2" i="3"/>
  <c r="K1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Sungeun Jeong</author>
  </authors>
  <commentList>
    <comment ref="B15" authorId="0" shapeId="0" xr:uid="{25395FAB-324E-491A-BDA7-F4628DEB4634}">
      <text>
        <r>
          <rPr>
            <b/>
            <sz val="9"/>
            <color indexed="81"/>
            <rFont val="Tahoma"/>
            <family val="2"/>
          </rPr>
          <t xml:space="preserve">Attack_type
1: </t>
        </r>
        <r>
          <rPr>
            <b/>
            <sz val="9"/>
            <color indexed="81"/>
            <rFont val="돋움"/>
            <family val="3"/>
            <charset val="129"/>
          </rPr>
          <t xml:space="preserve">물리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마법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혼합</t>
        </r>
      </text>
    </comment>
  </commentList>
</comments>
</file>

<file path=xl/sharedStrings.xml><?xml version="1.0" encoding="utf-8"?>
<sst xmlns="http://schemas.openxmlformats.org/spreadsheetml/2006/main" count="976" uniqueCount="611">
  <si>
    <t>id</t>
    <phoneticPr fontId="1" type="noConversion"/>
  </si>
  <si>
    <t>name</t>
    <phoneticPr fontId="1" type="noConversion"/>
  </si>
  <si>
    <t>정수</t>
    <phoneticPr fontId="1" type="noConversion"/>
  </si>
  <si>
    <t>명칭</t>
    <phoneticPr fontId="1" type="noConversion"/>
  </si>
  <si>
    <t>item_id</t>
  </si>
  <si>
    <t>item_id</t>
    <phoneticPr fontId="1" type="noConversion"/>
  </si>
  <si>
    <t>name_id</t>
  </si>
  <si>
    <t>weight</t>
  </si>
  <si>
    <t>trait_id 1</t>
  </si>
  <si>
    <t>trait_id 2</t>
  </si>
  <si>
    <t>trait_id 3</t>
  </si>
  <si>
    <t>weapon_bit_type</t>
    <phoneticPr fontId="1" type="noConversion"/>
  </si>
  <si>
    <t>atk_min</t>
  </si>
  <si>
    <t>atk_max</t>
  </si>
  <si>
    <t>atk_type</t>
  </si>
  <si>
    <t>atk_type</t>
    <phoneticPr fontId="1" type="noConversion"/>
  </si>
  <si>
    <t>raiting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</si>
  <si>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</si>
  <si>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</si>
  <si>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</si>
  <si>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</si>
  <si>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</si>
  <si>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</si>
  <si>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</si>
  <si>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</si>
  <si>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</si>
  <si>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</si>
  <si>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</si>
  <si>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</si>
  <si>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item_icon</t>
  </si>
  <si>
    <t>des_id</t>
  </si>
  <si>
    <t>타입</t>
    <phoneticPr fontId="1" type="noConversion"/>
  </si>
  <si>
    <t>인덱스</t>
    <phoneticPr fontId="1" type="noConversion"/>
  </si>
  <si>
    <t>아이디</t>
    <phoneticPr fontId="1" type="noConversion"/>
  </si>
  <si>
    <t>특성 아이디 2</t>
  </si>
  <si>
    <t>특성 아이디 3</t>
  </si>
  <si>
    <t>전투 옵션 타입 2</t>
  </si>
  <si>
    <t>전투 옵션 타입 3</t>
  </si>
  <si>
    <t>전투 옵션 타입 4</t>
  </si>
  <si>
    <t>한손검</t>
    <phoneticPr fontId="1" type="noConversion"/>
  </si>
  <si>
    <t>양손검</t>
    <phoneticPr fontId="1" type="noConversion"/>
  </si>
  <si>
    <t>활</t>
    <phoneticPr fontId="1" type="noConversion"/>
  </si>
  <si>
    <t>지팡이</t>
    <phoneticPr fontId="1" type="noConversion"/>
  </si>
  <si>
    <t>단검</t>
    <phoneticPr fontId="1" type="noConversion"/>
  </si>
  <si>
    <t>한손 둔기</t>
    <phoneticPr fontId="1" type="noConversion"/>
  </si>
  <si>
    <t>양손 둔기</t>
    <phoneticPr fontId="1" type="noConversion"/>
  </si>
  <si>
    <t>창</t>
    <phoneticPr fontId="1" type="noConversion"/>
  </si>
  <si>
    <t>쌍검</t>
    <phoneticPr fontId="1" type="noConversion"/>
  </si>
  <si>
    <t>머리</t>
    <phoneticPr fontId="1" type="noConversion"/>
  </si>
  <si>
    <t>갑옷</t>
    <phoneticPr fontId="1" type="noConversion"/>
  </si>
  <si>
    <t>장신구</t>
    <phoneticPr fontId="1" type="noConversion"/>
  </si>
  <si>
    <t>무기</t>
    <phoneticPr fontId="1" type="noConversion"/>
  </si>
  <si>
    <t>방어구</t>
    <phoneticPr fontId="1" type="noConversion"/>
  </si>
  <si>
    <t>전체</t>
    <phoneticPr fontId="1" type="noConversion"/>
  </si>
  <si>
    <t>목검</t>
  </si>
  <si>
    <t>조잡한 검</t>
  </si>
  <si>
    <t>철제 검</t>
  </si>
  <si>
    <t>목궁</t>
  </si>
  <si>
    <t>조잡한 활</t>
  </si>
  <si>
    <t>각궁</t>
  </si>
  <si>
    <t>나무 단검</t>
  </si>
  <si>
    <t>조잡한 단검</t>
  </si>
  <si>
    <t>철제 단검</t>
  </si>
  <si>
    <t>나무 대검</t>
  </si>
  <si>
    <t>조잡한 대검</t>
  </si>
  <si>
    <t>철제 대검</t>
  </si>
  <si>
    <t>나무 스태프</t>
  </si>
  <si>
    <t>조잡한 스태프</t>
  </si>
  <si>
    <t>고목 스태프</t>
  </si>
  <si>
    <t>무기 아이템</t>
    <phoneticPr fontId="1" type="noConversion"/>
  </si>
  <si>
    <t>아이디 규칙</t>
    <phoneticPr fontId="1" type="noConversion"/>
  </si>
  <si>
    <t>장비 아이템</t>
    <phoneticPr fontId="1" type="noConversion"/>
  </si>
  <si>
    <t>1xxxx</t>
    <phoneticPr fontId="1" type="noConversion"/>
  </si>
  <si>
    <t>방어구 아이템</t>
    <phoneticPr fontId="1" type="noConversion"/>
  </si>
  <si>
    <t>11xxx</t>
    <phoneticPr fontId="1" type="noConversion"/>
  </si>
  <si>
    <t>12xxx</t>
    <phoneticPr fontId="1" type="noConversion"/>
  </si>
  <si>
    <t>소비 아이템</t>
    <phoneticPr fontId="1" type="noConversion"/>
  </si>
  <si>
    <t>2xxxx</t>
    <phoneticPr fontId="1" type="noConversion"/>
  </si>
  <si>
    <t>번호</t>
    <phoneticPr fontId="1" type="noConversion"/>
  </si>
  <si>
    <t>아이템 아이콘 명 규칙</t>
    <phoneticPr fontId="1" type="noConversion"/>
  </si>
  <si>
    <t>item_(아이템 아이디)</t>
    <phoneticPr fontId="1" type="noConversion"/>
  </si>
  <si>
    <t>id</t>
  </si>
  <si>
    <t>box_type</t>
  </si>
  <si>
    <t>box_type</t>
    <phoneticPr fontId="1" type="noConversion"/>
  </si>
  <si>
    <t>reward_type_1</t>
  </si>
  <si>
    <t>reward_type_1</t>
    <phoneticPr fontId="1" type="noConversion"/>
  </si>
  <si>
    <t>reward_value_1</t>
  </si>
  <si>
    <t>reward_value_1</t>
    <phoneticPr fontId="1" type="noConversion"/>
  </si>
  <si>
    <t>reward_count_1</t>
  </si>
  <si>
    <t>reward_count_1</t>
    <phoneticPr fontId="1" type="noConversion"/>
  </si>
  <si>
    <t>reward_type_2</t>
  </si>
  <si>
    <t>reward_value_2</t>
  </si>
  <si>
    <t>reward_count_2</t>
  </si>
  <si>
    <t>reward_type_3</t>
  </si>
  <si>
    <t>reward_value_3</t>
  </si>
  <si>
    <t>reward_count_3</t>
  </si>
  <si>
    <t>reward_type_4</t>
  </si>
  <si>
    <t>reward_value_4</t>
  </si>
  <si>
    <t>reward_count_4</t>
  </si>
  <si>
    <t>reward_type_5</t>
  </si>
  <si>
    <t>reward_value_5</t>
  </si>
  <si>
    <t>reward_count_5</t>
  </si>
  <si>
    <t>reward_type_6</t>
  </si>
  <si>
    <t>reward_value_6</t>
  </si>
  <si>
    <t>reward_count_6</t>
  </si>
  <si>
    <t>reward_type_7</t>
  </si>
  <si>
    <t>reward_value_7</t>
  </si>
  <si>
    <t>reward_count_7</t>
  </si>
  <si>
    <t>reward_type_8</t>
  </si>
  <si>
    <t>reward_value_8</t>
  </si>
  <si>
    <t>reward_count_8</t>
  </si>
  <si>
    <t>reward_type_9</t>
  </si>
  <si>
    <t>reward_value_9</t>
  </si>
  <si>
    <t>reward_count_9</t>
  </si>
  <si>
    <t>reward_type_10</t>
  </si>
  <si>
    <t>reward_value_10</t>
  </si>
  <si>
    <t>reward_count_10</t>
  </si>
  <si>
    <t>고유 아이디</t>
    <phoneticPr fontId="1" type="noConversion"/>
  </si>
  <si>
    <t>상자 타입</t>
    <phoneticPr fontId="1" type="noConversion"/>
  </si>
  <si>
    <t>획득 보상 타입</t>
    <phoneticPr fontId="1" type="noConversion"/>
  </si>
  <si>
    <t>획득 보상 타입_1</t>
    <phoneticPr fontId="1" type="noConversion"/>
  </si>
  <si>
    <t>획득 보상 타입_9</t>
  </si>
  <si>
    <t>획득 보상 타입_10</t>
  </si>
  <si>
    <t>획득 보상 값</t>
    <phoneticPr fontId="1" type="noConversion"/>
  </si>
  <si>
    <t>획득 보상 수량</t>
    <phoneticPr fontId="1" type="noConversion"/>
  </si>
  <si>
    <t>획득 보상 값_1</t>
    <phoneticPr fontId="1" type="noConversion"/>
  </si>
  <si>
    <t>획득 보상 값_9</t>
  </si>
  <si>
    <t>획득 보상 값_10</t>
  </si>
  <si>
    <t>획득 보상 수량_1</t>
    <phoneticPr fontId="1" type="noConversion"/>
  </si>
  <si>
    <t>획득 보상 타입_2</t>
  </si>
  <si>
    <t>획득 보상 값_2</t>
  </si>
  <si>
    <t>획득 보상 수량_2</t>
  </si>
  <si>
    <t>획득 보상 타입_3</t>
  </si>
  <si>
    <t>획득 보상 값_3</t>
  </si>
  <si>
    <t>획득 보상 수량_3</t>
  </si>
  <si>
    <t>획득 보상 타입_4</t>
  </si>
  <si>
    <t>획득 보상 값_4</t>
  </si>
  <si>
    <t>획득 보상 수량_4</t>
  </si>
  <si>
    <t>획득 보상 타입_5</t>
  </si>
  <si>
    <t>획득 보상 값_5</t>
  </si>
  <si>
    <t>획득 보상 수량_5</t>
  </si>
  <si>
    <t>획득 보상 타입_6</t>
  </si>
  <si>
    <t>획득 보상 값_6</t>
  </si>
  <si>
    <t>획득 보상 수량_6</t>
  </si>
  <si>
    <t>획득 보상 타입_7</t>
  </si>
  <si>
    <t>획득 보상 값_7</t>
  </si>
  <si>
    <t>획득 보상 수량_7</t>
  </si>
  <si>
    <t>획득 보상 타입_8</t>
  </si>
  <si>
    <t>획득 보상 값_8</t>
  </si>
  <si>
    <t>획득 보상 수량_8</t>
  </si>
  <si>
    <t>획득 보상 수량_9</t>
  </si>
  <si>
    <t>획득 보상 수량_10</t>
  </si>
  <si>
    <t>12.Box_Table</t>
    <phoneticPr fontId="1" type="noConversion"/>
  </si>
  <si>
    <t>index</t>
    <phoneticPr fontId="1" type="noConversion"/>
  </si>
  <si>
    <t>기능</t>
    <phoneticPr fontId="1" type="noConversion"/>
  </si>
  <si>
    <t>즉시 획득 보상</t>
    <phoneticPr fontId="1" type="noConversion"/>
  </si>
  <si>
    <t>보상을 얻었을 경우 즉각적으로 보여지는 상자</t>
    <phoneticPr fontId="1" type="noConversion"/>
  </si>
  <si>
    <t>box_type/상자 타입</t>
    <phoneticPr fontId="1" type="noConversion"/>
  </si>
  <si>
    <t>사용형 보상</t>
    <phoneticPr fontId="1" type="noConversion"/>
  </si>
  <si>
    <t>소비 아이템으로 사용 시 보상을 주는 상자</t>
    <phoneticPr fontId="1" type="noConversion"/>
  </si>
  <si>
    <t>선택형 보상</t>
    <phoneticPr fontId="1" type="noConversion"/>
  </si>
  <si>
    <t>아이템을 선택하여 보상을 받을 수 있는 상자</t>
    <phoneticPr fontId="1" type="noConversion"/>
  </si>
  <si>
    <t>reward_type</t>
    <phoneticPr fontId="1" type="noConversion"/>
  </si>
  <si>
    <t>reward_value</t>
    <phoneticPr fontId="1" type="noConversion"/>
  </si>
  <si>
    <t>reward_count</t>
    <phoneticPr fontId="1" type="noConversion"/>
  </si>
  <si>
    <t>골드</t>
    <phoneticPr fontId="1" type="noConversion"/>
  </si>
  <si>
    <t>value</t>
    <phoneticPr fontId="1" type="noConversion"/>
  </si>
  <si>
    <t>아이템</t>
    <phoneticPr fontId="1" type="noConversion"/>
  </si>
  <si>
    <t>영웅 경험치</t>
    <phoneticPr fontId="1" type="noConversion"/>
  </si>
  <si>
    <t>특성</t>
    <phoneticPr fontId="1" type="noConversion"/>
  </si>
  <si>
    <t>count</t>
    <phoneticPr fontId="1" type="noConversion"/>
  </si>
  <si>
    <t>trait_id</t>
    <phoneticPr fontId="1" type="noConversion"/>
  </si>
  <si>
    <t>reward_type/보상 타입</t>
    <phoneticPr fontId="1" type="noConversion"/>
  </si>
  <si>
    <t>gacha_type</t>
  </si>
  <si>
    <t>gacha_type</t>
    <phoneticPr fontId="1" type="noConversion"/>
  </si>
  <si>
    <t>gacha_id</t>
  </si>
  <si>
    <t>gacha_id</t>
    <phoneticPr fontId="1" type="noConversion"/>
  </si>
  <si>
    <t>rate</t>
  </si>
  <si>
    <t>rate</t>
    <phoneticPr fontId="1" type="noConversion"/>
  </si>
  <si>
    <t>reward_type/보상 타입, pay_type/비용 타입</t>
    <phoneticPr fontId="1" type="noConversion"/>
  </si>
  <si>
    <t>타입별 인덱스 사용처</t>
    <phoneticPr fontId="1" type="noConversion"/>
  </si>
  <si>
    <t>스테이지 보상</t>
    <phoneticPr fontId="1" type="noConversion"/>
  </si>
  <si>
    <t>스테이지 보상을 랜덤으로 줄때 사용</t>
    <phoneticPr fontId="1" type="noConversion"/>
  </si>
  <si>
    <t>확률 보상용 아이템</t>
    <phoneticPr fontId="1" type="noConversion"/>
  </si>
  <si>
    <t>랜덤 보상 지급 시 사용</t>
    <phoneticPr fontId="1" type="noConversion"/>
  </si>
  <si>
    <t>주점 영웅 용</t>
    <phoneticPr fontId="1" type="noConversion"/>
  </si>
  <si>
    <t>주점에 나오는 랜덤 영웅을 위해 사용</t>
    <phoneticPr fontId="1" type="noConversion"/>
  </si>
  <si>
    <t>영웅</t>
    <phoneticPr fontId="1" type="noConversion"/>
  </si>
  <si>
    <t>hero_id</t>
    <phoneticPr fontId="1" type="noConversion"/>
  </si>
  <si>
    <t>참조 테이블</t>
    <phoneticPr fontId="1" type="noConversion"/>
  </si>
  <si>
    <t>11.Item_Table</t>
    <phoneticPr fontId="1" type="noConversion"/>
  </si>
  <si>
    <t>04.Trait_Table</t>
    <phoneticPr fontId="1" type="noConversion"/>
  </si>
  <si>
    <t>03.Character_table</t>
  </si>
  <si>
    <t>gacha_type/가챠 타입</t>
    <phoneticPr fontId="1" type="noConversion"/>
  </si>
  <si>
    <t>가챠 타입</t>
    <phoneticPr fontId="1" type="noConversion"/>
  </si>
  <si>
    <t>가챠 아이디</t>
    <phoneticPr fontId="1" type="noConversion"/>
  </si>
  <si>
    <t>등장 확률</t>
    <phoneticPr fontId="1" type="noConversion"/>
  </si>
  <si>
    <t>무기 아이템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</si>
  <si>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</si>
  <si>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</si>
  <si>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</si>
  <si>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</si>
  <si>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</si>
  <si>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</si>
  <si>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</si>
  <si>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</t>
  </si>
  <si>
    <t>듀얼 쇼크</t>
  </si>
  <si>
    <t>기절 중인 상대에게 무조건 치명타</t>
  </si>
  <si>
    <t>휴대용 발리스타</t>
  </si>
  <si>
    <t>사거리 굉장히 김, 이동속도 -90%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</si>
  <si>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</si>
  <si>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</si>
  <si>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</si>
  <si>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</si>
  <si>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</si>
  <si>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1% 확률로 적 즉사</t>
  </si>
  <si>
    <t>다인 슬라이프</t>
  </si>
  <si>
    <t>적 처치 시 흡혈량 +5%의 효과를 가진 스택을 쌓는다 (던전 종료 시 스택 삭제)</t>
  </si>
  <si>
    <t>바보의 대검</t>
  </si>
  <si>
    <t>최종 대미지 +50%, 스킬 '막 휘두르기' 제공</t>
  </si>
  <si>
    <t>엄청 큰 대검</t>
  </si>
  <si>
    <t>치명타 발동시 적 기절 부여, 치명타 확률 -10%</t>
  </si>
  <si>
    <t>쾌속의 스태프</t>
  </si>
  <si>
    <t>쿨타임 감소 50% 최종 데미지 -50%</t>
  </si>
  <si>
    <t>바보의 스태프</t>
  </si>
  <si>
    <t>범위 공격에 아군을 포함하고 최종 데미지 +100%</t>
  </si>
  <si>
    <t>영혼강탈자</t>
  </si>
  <si>
    <t>적군 처치시 무작위 스킬의 쿨타임 초기화</t>
  </si>
  <si>
    <t>방어구 아이템</t>
  </si>
  <si>
    <t>천옷</t>
  </si>
  <si>
    <t>누구나 입고다니는 일반적인 옷</t>
  </si>
  <si>
    <t>가죽갑옷</t>
  </si>
  <si>
    <t>가죽을 덧댄 튼튼한 갑옷</t>
  </si>
  <si>
    <t>철갑옷</t>
  </si>
  <si>
    <t>철을 덧대 단단함을 중시한 갑옷</t>
  </si>
  <si>
    <t>천 모자</t>
  </si>
  <si>
    <t>누구나 입고다니는 일반적인 모자</t>
  </si>
  <si>
    <t>가죽 모자</t>
  </si>
  <si>
    <t>철 투구</t>
  </si>
  <si>
    <t>하급 생명 반지</t>
  </si>
  <si>
    <t>하급 생명 목걸이</t>
  </si>
  <si>
    <t>하급 공격 반지</t>
  </si>
  <si>
    <t>하급 공격 목걸이</t>
  </si>
  <si>
    <t>max_hp</t>
  </si>
  <si>
    <t>armor</t>
  </si>
  <si>
    <t>magic_armor</t>
  </si>
  <si>
    <t>atk_speed</t>
  </si>
  <si>
    <t>atk_range</t>
  </si>
  <si>
    <t>카테고리</t>
  </si>
  <si>
    <t>name</t>
  </si>
  <si>
    <t>des</t>
  </si>
  <si>
    <t>item_type</t>
  </si>
  <si>
    <t>weapon_bit_type</t>
  </si>
  <si>
    <t>나무로 만든 기본적인 검</t>
  </si>
  <si>
    <t>잘 재련되지 않은 조잡한 검이다.</t>
  </si>
  <si>
    <t>대장간에서 잘 제련된 철제 검이다.</t>
  </si>
  <si>
    <t>나무로 만든 기본적인 활</t>
  </si>
  <si>
    <t>나무로 만든 활을 조금 강화하였다.</t>
  </si>
  <si>
    <t>물소뿔을 잘 이어붙인 각궁이다.</t>
  </si>
  <si>
    <t>나무를 깍아 만든 단검이다.</t>
  </si>
  <si>
    <t>돌로된 날을 사용하는 단검이다.</t>
  </si>
  <si>
    <t>날카로운 철제로 만든 단검이다.</t>
  </si>
  <si>
    <t>큰 나무를 조각해서 만든 검이다.</t>
  </si>
  <si>
    <t>잘 재련되지 않은 큰날을 사용하는 검이다.</t>
  </si>
  <si>
    <t>명칭</t>
  </si>
  <si>
    <t>타입</t>
  </si>
  <si>
    <t>아이템 아이디</t>
  </si>
  <si>
    <t>아이디</t>
  </si>
  <si>
    <t>이름 언어 아이디</t>
  </si>
  <si>
    <t>언어</t>
  </si>
  <si>
    <t>설명 언어 아이디</t>
  </si>
  <si>
    <t>아이템 타입</t>
  </si>
  <si>
    <t>인덱스</t>
  </si>
  <si>
    <t>아이템 무게</t>
  </si>
  <si>
    <t>정수</t>
  </si>
  <si>
    <t>장비 랭크</t>
  </si>
  <si>
    <t>특성 아이디 1</t>
  </si>
  <si>
    <t>장비 비트 타입</t>
  </si>
  <si>
    <t>공격 타입</t>
  </si>
  <si>
    <t>공격력 최소값</t>
  </si>
  <si>
    <t>공격력 최대값</t>
  </si>
  <si>
    <t>최대 체력 증가량</t>
  </si>
  <si>
    <t>물리 방어 증가량</t>
  </si>
  <si>
    <t>마법 방어 증가량</t>
  </si>
  <si>
    <t>공격속도 배율</t>
  </si>
  <si>
    <t>백분율</t>
  </si>
  <si>
    <t>사거리</t>
  </si>
  <si>
    <t>전투 옵션 타입 1</t>
  </si>
  <si>
    <t>값 1</t>
  </si>
  <si>
    <t>값 2</t>
  </si>
  <si>
    <t>아이템 아이콘</t>
  </si>
  <si>
    <t>문자열</t>
  </si>
  <si>
    <t>반복 가챠 이벤트 용</t>
    <phoneticPr fontId="1" type="noConversion"/>
  </si>
  <si>
    <t>보상 명칭</t>
    <phoneticPr fontId="1" type="noConversion"/>
  </si>
  <si>
    <t>1랭크</t>
    <phoneticPr fontId="1" type="noConversion"/>
  </si>
  <si>
    <t>2랭크</t>
  </si>
  <si>
    <t>3랭크</t>
  </si>
  <si>
    <t>4랭크</t>
  </si>
  <si>
    <t>5랭크</t>
  </si>
  <si>
    <t>총합</t>
    <phoneticPr fontId="1" type="noConversion"/>
  </si>
  <si>
    <t>4랭크 임시 무기</t>
    <phoneticPr fontId="1" type="noConversion"/>
  </si>
  <si>
    <t>더미 데이터</t>
    <phoneticPr fontId="1" type="noConversion"/>
  </si>
  <si>
    <t>박스 아이템</t>
    <phoneticPr fontId="1" type="noConversion"/>
  </si>
  <si>
    <t>3xxxx</t>
    <phoneticPr fontId="1" type="noConversion"/>
  </si>
  <si>
    <t>목검, 조잡한 검, 철제 검</t>
    <phoneticPr fontId="1" type="noConversion"/>
  </si>
  <si>
    <t>소모품 아이템</t>
    <phoneticPr fontId="1" type="noConversion"/>
  </si>
  <si>
    <t>박스 형태 아이템</t>
    <phoneticPr fontId="1" type="noConversion"/>
  </si>
  <si>
    <t>체력 회복 물약</t>
    <phoneticPr fontId="1" type="noConversion"/>
  </si>
  <si>
    <t>type</t>
    <phoneticPr fontId="1" type="noConversion"/>
  </si>
  <si>
    <t>소모품</t>
    <phoneticPr fontId="1" type="noConversion"/>
  </si>
  <si>
    <t>종합 상자</t>
    <phoneticPr fontId="1" type="noConversion"/>
  </si>
  <si>
    <t>기타 아이템</t>
    <phoneticPr fontId="1" type="noConversion"/>
  </si>
  <si>
    <t>9xxxx</t>
    <phoneticPr fontId="1" type="noConversion"/>
  </si>
  <si>
    <t>부서진 불멸의 목걸이</t>
    <phoneticPr fontId="1" type="noConversion"/>
  </si>
  <si>
    <t>불멸의 목걸이</t>
    <phoneticPr fontId="1" type="noConversion"/>
  </si>
  <si>
    <t>스탯 값 (battle_option_type)</t>
    <phoneticPr fontId="1" type="noConversion"/>
  </si>
  <si>
    <t>battle_option_type</t>
    <phoneticPr fontId="1" type="noConversion"/>
  </si>
  <si>
    <t>value1</t>
  </si>
  <si>
    <t>value2</t>
  </si>
  <si>
    <t>고정 대미지</t>
  </si>
  <si>
    <t>공격 무시 확률</t>
  </si>
  <si>
    <t>AI</t>
  </si>
  <si>
    <t>AI 아이디</t>
  </si>
  <si>
    <t>공격타입</t>
  </si>
  <si>
    <t>물리 대미지 %</t>
  </si>
  <si>
    <t>마법 대미지 %</t>
  </si>
  <si>
    <t>특정 아이템 착용</t>
  </si>
  <si>
    <t>특정 아이템 분류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</si>
  <si>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</si>
  <si>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</si>
  <si>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</si>
  <si>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</si>
  <si>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</si>
  <si>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</si>
  <si>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</si>
  <si>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</si>
  <si>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</si>
  <si>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</si>
  <si>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</si>
  <si>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</si>
  <si>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</si>
  <si>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</si>
  <si>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</si>
  <si>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</si>
  <si>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</si>
  <si>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</si>
  <si>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</si>
  <si>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</si>
  <si>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</si>
  <si>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</si>
  <si>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</si>
  <si>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</si>
  <si>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</si>
  <si>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</si>
  <si>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</si>
  <si>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</si>
  <si>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</si>
  <si>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</si>
  <si>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</si>
  <si>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</si>
  <si>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</si>
  <si>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</si>
  <si>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</si>
  <si>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</si>
  <si>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</si>
  <si>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</si>
  <si>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</si>
  <si>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</si>
  <si>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</si>
  <si>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</si>
  <si>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</si>
  <si>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</si>
  <si>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</si>
  <si>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</si>
  <si>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</si>
  <si>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</si>
  <si>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</si>
  <si>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</si>
  <si>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</si>
  <si>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</si>
  <si>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</si>
  <si>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</si>
  <si>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</si>
  <si>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</si>
  <si>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사용시 아이템 변경</t>
    <phoneticPr fontId="1" type="noConversion"/>
  </si>
  <si>
    <t>아이템 아이디</t>
    <phoneticPr fontId="1" type="noConversion"/>
  </si>
  <si>
    <t>횟수</t>
    <phoneticPr fontId="1" type="noConversion"/>
  </si>
  <si>
    <t>사용시 아이템 파괴</t>
    <phoneticPr fontId="1" type="noConversion"/>
  </si>
  <si>
    <t>세계수의 팔찌</t>
    <phoneticPr fontId="1" type="noConversion"/>
  </si>
  <si>
    <t>크로노스의 아뮬렛</t>
    <phoneticPr fontId="1" type="noConversion"/>
  </si>
  <si>
    <t>헤르메스의 브로치</t>
    <phoneticPr fontId="1" type="noConversion"/>
  </si>
  <si>
    <t>고양이 발톱 목걸이</t>
    <phoneticPr fontId="1" type="noConversion"/>
  </si>
  <si>
    <t>설인의 송곳니</t>
    <phoneticPr fontId="1" type="noConversion"/>
  </si>
  <si>
    <t>불사조의 정수</t>
    <phoneticPr fontId="1" type="noConversion"/>
  </si>
  <si>
    <t>갈망의 반지</t>
    <phoneticPr fontId="1" type="noConversion"/>
  </si>
  <si>
    <t>액막이 인형</t>
    <phoneticPr fontId="1" type="noConversion"/>
  </si>
  <si>
    <t>데스링</t>
    <phoneticPr fontId="1" type="noConversion"/>
  </si>
  <si>
    <t>전투 시작 시 자신에게 출혈 스택 부여</t>
    <phoneticPr fontId="1" type="noConversion"/>
  </si>
  <si>
    <t>스택 수</t>
    <phoneticPr fontId="1" type="noConversion"/>
  </si>
  <si>
    <t>전투 시작 시 자신에게 독 스택 부여</t>
    <phoneticPr fontId="1" type="noConversion"/>
  </si>
  <si>
    <t>전투 시작 시 자신에게 화상 스택 부여</t>
    <phoneticPr fontId="1" type="noConversion"/>
  </si>
  <si>
    <t>최대 체력 감소</t>
    <phoneticPr fontId="1" type="noConversion"/>
  </si>
  <si>
    <t>고정 감소(1이하로 X)</t>
    <phoneticPr fontId="1" type="noConversion"/>
  </si>
  <si>
    <t>최대 체력 대비 %</t>
    <phoneticPr fontId="1" type="noConversion"/>
  </si>
  <si>
    <t>11.아이템테이블/item</t>
    <phoneticPr fontId="1" type="noConversion"/>
  </si>
  <si>
    <t>11.아이템 테이블/Item type(아이템 타입)</t>
    <phoneticPr fontId="1" type="noConversion"/>
  </si>
  <si>
    <t>1. 장비</t>
    <phoneticPr fontId="1" type="noConversion"/>
  </si>
  <si>
    <t>name_id</t>
    <phoneticPr fontId="1" type="noConversion"/>
  </si>
  <si>
    <t>des_id</t>
    <phoneticPr fontId="1" type="noConversion"/>
  </si>
  <si>
    <t>1번 타입</t>
    <phoneticPr fontId="1" type="noConversion"/>
  </si>
  <si>
    <t>trait_id 1</t>
    <phoneticPr fontId="1" type="noConversion"/>
  </si>
  <si>
    <t>trait_id</t>
  </si>
  <si>
    <t>atk_min</t>
    <phoneticPr fontId="1" type="noConversion"/>
  </si>
  <si>
    <t>2. 소비</t>
    <phoneticPr fontId="1" type="noConversion"/>
  </si>
  <si>
    <t>3. 상자</t>
    <phoneticPr fontId="1" type="noConversion"/>
  </si>
  <si>
    <t>4. 기타</t>
    <phoneticPr fontId="1" type="noConversion"/>
  </si>
  <si>
    <t>Box_Table_id</t>
    <phoneticPr fontId="1" type="noConversion"/>
  </si>
  <si>
    <t>2번 타입</t>
  </si>
  <si>
    <t>3번 타입</t>
  </si>
  <si>
    <t>4번 타입</t>
  </si>
  <si>
    <t>내구도</t>
    <phoneticPr fontId="1" type="noConversion"/>
  </si>
  <si>
    <t>hp 회복 필요량</t>
    <phoneticPr fontId="1" type="noConversion"/>
  </si>
  <si>
    <t>독 회복 필요량</t>
    <phoneticPr fontId="1" type="noConversion"/>
  </si>
  <si>
    <t>화상 회복 필요량</t>
    <phoneticPr fontId="1" type="noConversion"/>
  </si>
  <si>
    <t>출혈 회복 필요량</t>
    <phoneticPr fontId="1" type="noConversion"/>
  </si>
  <si>
    <t>Potion_option_type_1</t>
    <phoneticPr fontId="1" type="noConversion"/>
  </si>
  <si>
    <t>p1_value1</t>
    <phoneticPr fontId="1" type="noConversion"/>
  </si>
  <si>
    <t>p1_value2</t>
  </si>
  <si>
    <t>Potion_option_type_2</t>
    <phoneticPr fontId="1" type="noConversion"/>
  </si>
  <si>
    <t>p2_value1</t>
    <phoneticPr fontId="1" type="noConversion"/>
  </si>
  <si>
    <t>p2_value2</t>
    <phoneticPr fontId="1" type="noConversion"/>
  </si>
  <si>
    <t>Potion_option_type_3</t>
    <phoneticPr fontId="1" type="noConversion"/>
  </si>
  <si>
    <t>p3_value1</t>
    <phoneticPr fontId="1" type="noConversion"/>
  </si>
  <si>
    <t>p3_value2</t>
    <phoneticPr fontId="1" type="noConversion"/>
  </si>
  <si>
    <t>Potion_option_type_4</t>
    <phoneticPr fontId="1" type="noConversion"/>
  </si>
  <si>
    <t>p4_value1</t>
    <phoneticPr fontId="1" type="noConversion"/>
  </si>
  <si>
    <t>p4_value2</t>
    <phoneticPr fontId="1" type="noConversion"/>
  </si>
  <si>
    <t xml:space="preserve"> </t>
    <phoneticPr fontId="1" type="noConversion"/>
  </si>
  <si>
    <t>약초 뭉치</t>
    <phoneticPr fontId="1" type="noConversion"/>
  </si>
  <si>
    <t>약초 더미</t>
    <phoneticPr fontId="1" type="noConversion"/>
  </si>
  <si>
    <t>붕대</t>
    <phoneticPr fontId="1" type="noConversion"/>
  </si>
  <si>
    <t>한방약</t>
    <phoneticPr fontId="1" type="noConversion"/>
  </si>
  <si>
    <t>연고약</t>
    <phoneticPr fontId="1" type="noConversion"/>
  </si>
  <si>
    <t>만능 물약</t>
    <phoneticPr fontId="1" type="noConversion"/>
  </si>
  <si>
    <t>Item_name_11001</t>
    <phoneticPr fontId="8" type="noConversion"/>
  </si>
  <si>
    <t>Item_name_11002</t>
  </si>
  <si>
    <t>Item_name_11003</t>
  </si>
  <si>
    <t>Item_name_11004</t>
  </si>
  <si>
    <t>Item_name_11005</t>
  </si>
  <si>
    <t>Item_name_11006</t>
  </si>
  <si>
    <t>Item_name_11007</t>
  </si>
  <si>
    <t>Item_name_11008</t>
  </si>
  <si>
    <t>Item_name_11009</t>
  </si>
  <si>
    <t>Item_name_11010</t>
  </si>
  <si>
    <t>Item_name_11011</t>
  </si>
  <si>
    <t>Item_name_11012</t>
  </si>
  <si>
    <t>Item_name_11013</t>
  </si>
  <si>
    <t>Item_name_11014</t>
  </si>
  <si>
    <t>Item_name_11015</t>
  </si>
  <si>
    <t>Item_name_11016</t>
  </si>
  <si>
    <t>Item_name_11017</t>
  </si>
  <si>
    <t>Item_name_11018</t>
  </si>
  <si>
    <t>Item_name_11019</t>
  </si>
  <si>
    <t>Item_name_11020</t>
  </si>
  <si>
    <t>Item_name_11021</t>
  </si>
  <si>
    <t>Item_name_11022</t>
  </si>
  <si>
    <t>Item_name_11023</t>
  </si>
  <si>
    <t>Item_name_11024</t>
  </si>
  <si>
    <t>Item_name_11025</t>
  </si>
  <si>
    <t>Item_name_11026</t>
  </si>
  <si>
    <t>Item_name_11027</t>
  </si>
  <si>
    <t>Item_name_11028</t>
  </si>
  <si>
    <t>Item_name_11029</t>
  </si>
  <si>
    <t>Item_name_11030</t>
  </si>
  <si>
    <t>Item_name_12001</t>
    <phoneticPr fontId="8" type="noConversion"/>
  </si>
  <si>
    <t>Item_name_12002</t>
  </si>
  <si>
    <t>Item_name_12003</t>
  </si>
  <si>
    <t>Item_name_12004</t>
  </si>
  <si>
    <t>Item_name_12005</t>
  </si>
  <si>
    <t>Item_name_12006</t>
  </si>
  <si>
    <t>Item_name_12007</t>
  </si>
  <si>
    <t>Item_name_12008</t>
  </si>
  <si>
    <t>Item_name_12009</t>
  </si>
  <si>
    <t>Item_name_12010</t>
  </si>
  <si>
    <t>Item_name_12011</t>
  </si>
  <si>
    <t>Item_name_12012</t>
  </si>
  <si>
    <t>Item_name_12013</t>
  </si>
  <si>
    <t>Item_name_12014</t>
  </si>
  <si>
    <t>Item_name_12015</t>
  </si>
  <si>
    <t>Item_name_12016</t>
  </si>
  <si>
    <t>Item_name_12017</t>
  </si>
  <si>
    <t>Item_name_12018</t>
  </si>
  <si>
    <t>Item_name_12019</t>
  </si>
  <si>
    <t>Item_name_12020</t>
    <phoneticPr fontId="8" type="noConversion"/>
  </si>
  <si>
    <t>Item_name_20001</t>
    <phoneticPr fontId="8" type="noConversion"/>
  </si>
  <si>
    <t>Item_name_20002</t>
    <phoneticPr fontId="8" type="noConversion"/>
  </si>
  <si>
    <t>Item_name_20003</t>
    <phoneticPr fontId="8" type="noConversion"/>
  </si>
  <si>
    <t>Item_name_20004</t>
    <phoneticPr fontId="8" type="noConversion"/>
  </si>
  <si>
    <t>Item_name_20005</t>
    <phoneticPr fontId="8" type="noConversion"/>
  </si>
  <si>
    <t>Item_name_20006</t>
    <phoneticPr fontId="8" type="noConversion"/>
  </si>
  <si>
    <t>Item_name_20007</t>
    <phoneticPr fontId="8" type="noConversion"/>
  </si>
  <si>
    <t>Item_name_30001</t>
    <phoneticPr fontId="8" type="noConversion"/>
  </si>
  <si>
    <t>Item_name_90001</t>
    <phoneticPr fontId="8" type="noConversion"/>
  </si>
  <si>
    <t>Item_des_11001</t>
    <phoneticPr fontId="8" type="noConversion"/>
  </si>
  <si>
    <t>Item_des_11002</t>
  </si>
  <si>
    <t>Item_des_11003</t>
  </si>
  <si>
    <t>Item_des_11004</t>
  </si>
  <si>
    <t>Item_des_11005</t>
  </si>
  <si>
    <t>Item_des_11006</t>
  </si>
  <si>
    <t>Item_des_11007</t>
  </si>
  <si>
    <t>Item_des_11008</t>
  </si>
  <si>
    <t>Item_des_11009</t>
  </si>
  <si>
    <t>Item_des_11010</t>
  </si>
  <si>
    <t>Item_des_11011</t>
  </si>
  <si>
    <t>Item_des_11012</t>
  </si>
  <si>
    <t>Item_des_11013</t>
  </si>
  <si>
    <t>Item_des_11014</t>
  </si>
  <si>
    <t>Item_des_11015</t>
  </si>
  <si>
    <t>Item_des_11016</t>
  </si>
  <si>
    <t>Item_des_11017</t>
  </si>
  <si>
    <t>Item_des_11018</t>
  </si>
  <si>
    <t>Item_des_11019</t>
  </si>
  <si>
    <t>Item_des_11020</t>
  </si>
  <si>
    <t>Item_des_11021</t>
  </si>
  <si>
    <t>Item_des_11022</t>
  </si>
  <si>
    <t>Item_des_11023</t>
  </si>
  <si>
    <t>Item_des_11024</t>
  </si>
  <si>
    <t>Item_des_11025</t>
  </si>
  <si>
    <t>Item_des_11026</t>
  </si>
  <si>
    <t>Item_des_11027</t>
  </si>
  <si>
    <t>Item_des_11028</t>
  </si>
  <si>
    <t>Item_des_11029</t>
  </si>
  <si>
    <t>Item_des_11030</t>
  </si>
  <si>
    <t>Item_des_12002</t>
  </si>
  <si>
    <t>Item_des_12003</t>
  </si>
  <si>
    <t>Item_des_12004</t>
  </si>
  <si>
    <t>Item_des_12005</t>
  </si>
  <si>
    <t>Item_des_12006</t>
  </si>
  <si>
    <t>Item_des_12007</t>
    <phoneticPr fontId="8" type="noConversion"/>
  </si>
  <si>
    <t>Item_des_12008</t>
  </si>
  <si>
    <t>Item_des_12009</t>
  </si>
  <si>
    <t>Item_des_12010</t>
  </si>
  <si>
    <t>Item_des_12011</t>
  </si>
  <si>
    <t>Item_des_12012</t>
  </si>
  <si>
    <t>Item_des_12013</t>
  </si>
  <si>
    <t>Item_des_12014</t>
  </si>
  <si>
    <t>Item_des_12015</t>
  </si>
  <si>
    <t>Item_des_12016</t>
  </si>
  <si>
    <t>Item_des_12017</t>
  </si>
  <si>
    <t>Item_des_12018</t>
  </si>
  <si>
    <t>Item_des_12019</t>
  </si>
  <si>
    <t>Item_des_12020</t>
  </si>
  <si>
    <t>Item_des_20001</t>
  </si>
  <si>
    <t>Item_des_20002</t>
  </si>
  <si>
    <t>Item_des_20003</t>
  </si>
  <si>
    <t>Item_des_20004</t>
  </si>
  <si>
    <t>Item_des_20005</t>
  </si>
  <si>
    <t>Item_des_20006</t>
  </si>
  <si>
    <t>Item_des_20007</t>
  </si>
  <si>
    <t>Item_des_30001</t>
  </si>
  <si>
    <t>Item_des_90001</t>
  </si>
  <si>
    <t>찢어진 천 가리개</t>
    <phoneticPr fontId="1" type="noConversion"/>
  </si>
  <si>
    <t>고블린이 입고 다녔던 천 가리개이다, 다 찢어져서 몸을 겨우 가릴 수 있을것 같다</t>
    <phoneticPr fontId="1" type="noConversion"/>
  </si>
  <si>
    <t>조잡한 뼈 몽둥이</t>
    <phoneticPr fontId="1" type="noConversion"/>
  </si>
  <si>
    <t>고블린이 들고 다니는 뼈로 만든 몽둥이 이다.</t>
    <phoneticPr fontId="1" type="noConversion"/>
  </si>
  <si>
    <t>날카로운 뼈 몽둥이</t>
    <phoneticPr fontId="1" type="noConversion"/>
  </si>
  <si>
    <t>고블린이 들고 다니는 뼈 몽둥이로 뼈를 부러트려 날카롭게 만들어놨다.</t>
    <phoneticPr fontId="1" type="noConversion"/>
  </si>
  <si>
    <t>Item_des_12001</t>
    <phoneticPr fontId="1" type="noConversion"/>
  </si>
  <si>
    <t>Item_name_11041</t>
  </si>
  <si>
    <t>Item_des_11041</t>
  </si>
  <si>
    <t>Item_name_11042</t>
  </si>
  <si>
    <t>Item_des_11042</t>
  </si>
  <si>
    <t>Item_name_11043</t>
  </si>
  <si>
    <t>Item_des_11043</t>
  </si>
  <si>
    <t>Item_name_11044</t>
  </si>
  <si>
    <t>Item_des_11044</t>
  </si>
  <si>
    <t>Item_name_12021</t>
  </si>
  <si>
    <t>Item_des_12021</t>
  </si>
  <si>
    <t>Item_name_12022</t>
  </si>
  <si>
    <t>Item_des_12022</t>
  </si>
  <si>
    <t>Item_name_12023</t>
  </si>
  <si>
    <t>Item_des_12023</t>
  </si>
  <si>
    <t>조잡한 폭탄 뭉치</t>
    <phoneticPr fontId="1" type="noConversion"/>
  </si>
  <si>
    <t xml:space="preserve">고블린이 들고 다니는 폭탄이다. </t>
    <phoneticPr fontId="1" type="noConversion"/>
  </si>
  <si>
    <t>폭탄 뭉치</t>
    <phoneticPr fontId="1" type="noConversion"/>
  </si>
  <si>
    <t>고블린이 들고 다니는 폭탄으로. 제대로 관리되지 못한 것 같다.</t>
    <phoneticPr fontId="1" type="noConversion"/>
  </si>
  <si>
    <t>천 가리개</t>
    <phoneticPr fontId="1" type="noConversion"/>
  </si>
  <si>
    <t>고블린이 입고 다니는 천 가리개이다.</t>
    <phoneticPr fontId="1" type="noConversion"/>
  </si>
  <si>
    <t>사람 가죽 천 가리개</t>
    <phoneticPr fontId="1" type="noConversion"/>
  </si>
  <si>
    <t>고블린이 입고 다니는 천 가리개이다. 사람 가죽으로 만들어진 것 같다…</t>
    <phoneticPr fontId="1" type="noConversion"/>
  </si>
  <si>
    <t>언어 x</t>
    <phoneticPr fontId="1" type="noConversion"/>
  </si>
  <si>
    <t>1스테이지 1번 그룹</t>
    <phoneticPr fontId="1" type="noConversion"/>
  </si>
  <si>
    <t>상자 내용물_1</t>
    <phoneticPr fontId="1" type="noConversion"/>
  </si>
  <si>
    <t>상자 내용물_2</t>
  </si>
  <si>
    <t>상자 내용물_3</t>
  </si>
  <si>
    <t>상자 내용물_4</t>
  </si>
  <si>
    <t>아이템 그룹 보상</t>
    <phoneticPr fontId="1" type="noConversion"/>
  </si>
  <si>
    <t>13.Gacha_table</t>
    <phoneticPr fontId="1" type="noConversion"/>
  </si>
  <si>
    <t>rank</t>
    <phoneticPr fontId="1" type="noConversion"/>
  </si>
  <si>
    <t>랭크</t>
    <phoneticPr fontId="1" type="noConversion"/>
  </si>
  <si>
    <t>개수</t>
    <phoneticPr fontId="1" type="noConversion"/>
  </si>
  <si>
    <t>확률</t>
    <phoneticPr fontId="1" type="noConversion"/>
  </si>
  <si>
    <t>개별 확률</t>
    <phoneticPr fontId="1" type="noConversion"/>
  </si>
  <si>
    <t>Item_name_11045</t>
  </si>
  <si>
    <t>Item_des_11045</t>
  </si>
  <si>
    <t>Item_name_11046</t>
  </si>
  <si>
    <t>Item_des_11046</t>
  </si>
  <si>
    <t>녹슨 한손 검</t>
    <phoneticPr fontId="1" type="noConversion"/>
  </si>
  <si>
    <t>피 묻은 녹슨 한손 검</t>
    <phoneticPr fontId="1" type="noConversion"/>
  </si>
  <si>
    <t>스케레톤이 들고 다니는 검이다. 제법 많은 적을 죽여 피로 물들어 있는 것 같다.</t>
    <phoneticPr fontId="1" type="noConversion"/>
  </si>
  <si>
    <t>스켈레톤이 들고 다니는 검이다. 녹이 슬어 제대로 밸 수는 없지만 베일 경우 출혈에 걸릴것 만 같다.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</si>
</sst>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2" fillId="7" borderId="6" xfId="0" applyFont="1" applyFill="1" applyBorder="1">
      <alignment vertical="center"/>
    </xf>
    <xf numFmtId="0" fontId="2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9" fillId="2" borderId="2" xfId="0" applyFont="1" applyFill="1" applyBorder="1">
      <alignment vertical="center"/>
    </xf>
    <xf numFmtId="0" fontId="3" fillId="9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4" fillId="10" borderId="1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80"/>
  <sheetViews>
    <sheetView zoomScale="85" zoomScaleNormal="85" workbookViewId="0">
      <selection activeCell="E47" sqref="E47"/>
    </sheetView>
  </sheetViews>
  <sheetFormatPr defaultRowHeight="12" x14ac:dyDescent="0.3"/>
  <cols>
    <col min="1" max="1" width="13.5" style="12" bestFit="1" customWidth="1"/>
    <col min="2" max="2" width="6.75" style="10" bestFit="1" customWidth="1"/>
    <col min="3" max="3" width="16.625" style="9" bestFit="1" customWidth="1"/>
    <col min="4" max="4" width="14.625" style="9" bestFit="1" customWidth="1"/>
    <col min="5" max="5" width="13.875" style="15" customWidth="1"/>
    <col min="6" max="6" width="24.875" style="16" bestFit="1" customWidth="1"/>
    <col min="7" max="7" width="20.125" style="4" customWidth="1"/>
    <col min="8" max="8" width="6.5" style="4" bestFit="1" customWidth="1"/>
    <col min="9" max="9" width="6.25" style="4" customWidth="1"/>
    <col min="10" max="12" width="8" style="4" bestFit="1" customWidth="1"/>
    <col min="13" max="13" width="14.125" style="4" bestFit="1" customWidth="1"/>
    <col min="14" max="14" width="7.75" style="4" customWidth="1"/>
    <col min="15" max="15" width="7.125" style="4" customWidth="1"/>
    <col min="16" max="16" width="7.5" style="4" customWidth="1"/>
    <col min="17" max="17" width="9" style="4" bestFit="1" customWidth="1"/>
    <col min="18" max="22" width="9" style="4" customWidth="1"/>
    <col min="23" max="23" width="17.25" style="4" customWidth="1"/>
    <col min="24" max="25" width="8.625" style="4" customWidth="1"/>
    <col min="26" max="26" width="17.25" style="4" customWidth="1"/>
    <col min="27" max="28" width="8.625" style="4" customWidth="1"/>
    <col min="29" max="29" width="17.25" style="4" customWidth="1"/>
    <col min="30" max="31" width="8.625" style="4" customWidth="1"/>
    <col min="32" max="32" width="17.25" style="4" customWidth="1"/>
    <col min="33" max="34" width="8.625" style="4" customWidth="1"/>
    <col min="35" max="35" width="3.5" style="2" customWidth="1"/>
    <col min="36" max="37" width="9" style="3"/>
    <col min="38" max="38" width="17.5" style="3" bestFit="1" customWidth="1"/>
    <col min="39" max="39" width="25.375" style="3" bestFit="1" customWidth="1"/>
    <col min="40" max="40" width="17.875" style="3" bestFit="1" customWidth="1"/>
    <col min="41" max="41" width="19.5" style="3" bestFit="1" customWidth="1"/>
    <col min="42" max="45" width="9" style="3"/>
    <col min="46" max="46" width="18.875" style="3" customWidth="1"/>
    <col min="47" max="16384" width="9" style="3"/>
  </cols>
  <sheetData>
    <row r="1" spans="1:34" x14ac:dyDescent="0.3">
      <c r="A1" s="11" t="s">
        <v>248</v>
      </c>
      <c r="B1" s="17" t="s">
        <v>4</v>
      </c>
      <c r="C1" s="8" t="s">
        <v>6</v>
      </c>
      <c r="D1" s="8" t="s">
        <v>30</v>
      </c>
      <c r="E1" s="13" t="s">
        <v>249</v>
      </c>
      <c r="F1" s="14" t="s">
        <v>250</v>
      </c>
      <c r="G1" s="1" t="s">
        <v>251</v>
      </c>
      <c r="H1" s="1" t="s">
        <v>7</v>
      </c>
      <c r="I1" s="1" t="s">
        <v>16</v>
      </c>
      <c r="J1" s="1" t="s">
        <v>8</v>
      </c>
      <c r="K1" s="1" t="s">
        <v>9</v>
      </c>
      <c r="L1" s="1" t="s">
        <v>10</v>
      </c>
      <c r="M1" s="1" t="s">
        <v>252</v>
      </c>
      <c r="N1" s="1" t="s">
        <v>14</v>
      </c>
      <c r="O1" s="1" t="s">
        <v>12</v>
      </c>
      <c r="P1" s="1" t="s">
        <v>13</v>
      </c>
      <c r="Q1" s="1" t="s">
        <v>243</v>
      </c>
      <c r="R1" s="1" t="s">
        <v>244</v>
      </c>
      <c r="S1" s="1" t="s">
        <v>245</v>
      </c>
      <c r="T1" s="1" t="s">
        <v>246</v>
      </c>
      <c r="U1" s="1" t="s">
        <v>247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</row>
    <row r="2" spans="1:34" ht="12.75" x14ac:dyDescent="0.3">
      <c r="A2" s="33" t="s">
        <v>181</v>
      </c>
      <c r="B2" s="10">
        <v>1101</v>
      </c>
      <c r="C2" s="30">
        <v>0</v>
      </c>
      <c r="D2" s="30">
        <v>0</v>
      </c>
      <c r="E2" s="15" t="s">
        <v>591</v>
      </c>
      <c r="F2" s="16" t="s">
        <v>590</v>
      </c>
      <c r="G2" s="4">
        <v>3</v>
      </c>
      <c r="H2" s="4">
        <v>0</v>
      </c>
      <c r="I2" s="4">
        <v>0</v>
      </c>
      <c r="J2" s="4">
        <v>1101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</row>
    <row r="3" spans="1:34" ht="12.75" x14ac:dyDescent="0.3">
      <c r="A3" s="12" t="s">
        <v>197</v>
      </c>
      <c r="B3" s="10">
        <v>11001</v>
      </c>
      <c r="C3" s="30" t="s">
        <v>444</v>
      </c>
      <c r="D3" s="30" t="s">
        <v>503</v>
      </c>
      <c r="E3" s="15" t="s">
        <v>54</v>
      </c>
      <c r="F3" s="16" t="s">
        <v>253</v>
      </c>
      <c r="G3" s="4">
        <v>1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1</v>
      </c>
      <c r="N3" s="4">
        <v>1</v>
      </c>
      <c r="O3" s="4">
        <v>2</v>
      </c>
      <c r="P3" s="4">
        <v>4</v>
      </c>
      <c r="Q3" s="4">
        <v>0</v>
      </c>
      <c r="R3" s="4">
        <v>0</v>
      </c>
      <c r="S3" s="4">
        <v>0</v>
      </c>
      <c r="T3" s="4">
        <v>100</v>
      </c>
      <c r="U3" s="4">
        <v>100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 t="str">
        <f>"item_"&amp;B3</f>
        <v>item_11001</v>
      </c>
    </row>
    <row r="4" spans="1:34" ht="12.75" x14ac:dyDescent="0.3">
      <c r="A4" s="12" t="s">
        <v>197</v>
      </c>
      <c r="B4" s="10">
        <v>11002</v>
      </c>
      <c r="C4" s="30" t="s">
        <v>445</v>
      </c>
      <c r="D4" s="30" t="s">
        <v>504</v>
      </c>
      <c r="E4" s="15" t="s">
        <v>55</v>
      </c>
      <c r="F4" s="16" t="s">
        <v>254</v>
      </c>
      <c r="G4" s="4">
        <v>1</v>
      </c>
      <c r="H4" s="4">
        <v>0</v>
      </c>
      <c r="I4" s="4">
        <v>2</v>
      </c>
      <c r="J4" s="4">
        <v>0</v>
      </c>
      <c r="K4" s="4">
        <v>0</v>
      </c>
      <c r="L4" s="4">
        <v>0</v>
      </c>
      <c r="M4" s="4">
        <v>1</v>
      </c>
      <c r="N4" s="4">
        <v>1</v>
      </c>
      <c r="O4" s="4">
        <v>4</v>
      </c>
      <c r="P4" s="4">
        <v>6</v>
      </c>
      <c r="Q4" s="4">
        <v>0</v>
      </c>
      <c r="R4" s="4">
        <v>0</v>
      </c>
      <c r="S4" s="4">
        <v>0</v>
      </c>
      <c r="T4" s="4">
        <v>100</v>
      </c>
      <c r="U4" s="4">
        <v>100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 t="str">
        <f t="shared" ref="AH4:AH60" si="0">"item_"&amp;B4</f>
        <v>item_11002</v>
      </c>
    </row>
    <row r="5" spans="1:34" ht="12.75" x14ac:dyDescent="0.3">
      <c r="A5" s="12" t="s">
        <v>197</v>
      </c>
      <c r="B5" s="10">
        <v>11003</v>
      </c>
      <c r="C5" s="30" t="s">
        <v>446</v>
      </c>
      <c r="D5" s="30" t="s">
        <v>505</v>
      </c>
      <c r="E5" s="15" t="s">
        <v>56</v>
      </c>
      <c r="F5" s="16" t="s">
        <v>255</v>
      </c>
      <c r="G5" s="4">
        <v>1</v>
      </c>
      <c r="H5" s="4">
        <v>0</v>
      </c>
      <c r="I5" s="4">
        <v>3</v>
      </c>
      <c r="J5" s="4">
        <v>0</v>
      </c>
      <c r="K5" s="4">
        <v>0</v>
      </c>
      <c r="L5" s="4">
        <v>0</v>
      </c>
      <c r="M5" s="4">
        <v>1</v>
      </c>
      <c r="N5" s="4">
        <v>1</v>
      </c>
      <c r="O5" s="4">
        <v>6</v>
      </c>
      <c r="P5" s="4">
        <v>8</v>
      </c>
      <c r="Q5" s="4">
        <v>0</v>
      </c>
      <c r="R5" s="4">
        <v>0</v>
      </c>
      <c r="S5" s="4">
        <v>0</v>
      </c>
      <c r="T5" s="4">
        <v>100</v>
      </c>
      <c r="U5" s="4">
        <v>100</v>
      </c>
      <c r="V5" s="4">
        <v>113</v>
      </c>
      <c r="W5" s="4">
        <v>0</v>
      </c>
      <c r="X5" s="4">
        <v>10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 t="str">
        <f t="shared" si="0"/>
        <v>item_11003</v>
      </c>
    </row>
    <row r="6" spans="1:34" ht="12.75" x14ac:dyDescent="0.3">
      <c r="A6" s="12" t="s">
        <v>197</v>
      </c>
      <c r="B6" s="10">
        <v>11004</v>
      </c>
      <c r="C6" s="30" t="s">
        <v>447</v>
      </c>
      <c r="D6" s="30" t="s">
        <v>506</v>
      </c>
      <c r="E6" s="15" t="s">
        <v>57</v>
      </c>
      <c r="F6" s="16" t="s">
        <v>256</v>
      </c>
      <c r="G6" s="4">
        <v>1</v>
      </c>
      <c r="H6" s="4">
        <v>0</v>
      </c>
      <c r="I6" s="4">
        <v>1</v>
      </c>
      <c r="J6" s="4">
        <v>0</v>
      </c>
      <c r="K6" s="4">
        <v>0</v>
      </c>
      <c r="L6" s="4">
        <v>0</v>
      </c>
      <c r="M6" s="4">
        <v>8</v>
      </c>
      <c r="N6" s="4">
        <v>1</v>
      </c>
      <c r="O6" s="4">
        <v>1</v>
      </c>
      <c r="P6" s="4">
        <v>3</v>
      </c>
      <c r="Q6" s="4">
        <v>0</v>
      </c>
      <c r="R6" s="4">
        <v>0</v>
      </c>
      <c r="S6" s="4">
        <v>0</v>
      </c>
      <c r="T6" s="4">
        <v>90</v>
      </c>
      <c r="U6" s="4">
        <v>400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 t="str">
        <f t="shared" si="0"/>
        <v>item_11004</v>
      </c>
    </row>
    <row r="7" spans="1:34" ht="12.75" x14ac:dyDescent="0.3">
      <c r="A7" s="12" t="s">
        <v>197</v>
      </c>
      <c r="B7" s="10">
        <v>11005</v>
      </c>
      <c r="C7" s="30" t="s">
        <v>448</v>
      </c>
      <c r="D7" s="30" t="s">
        <v>507</v>
      </c>
      <c r="E7" s="15" t="s">
        <v>58</v>
      </c>
      <c r="F7" s="16" t="s">
        <v>257</v>
      </c>
      <c r="G7" s="4">
        <v>1</v>
      </c>
      <c r="H7" s="4">
        <v>0</v>
      </c>
      <c r="I7" s="4">
        <v>2</v>
      </c>
      <c r="J7" s="4">
        <v>0</v>
      </c>
      <c r="K7" s="4">
        <v>0</v>
      </c>
      <c r="L7" s="4">
        <v>0</v>
      </c>
      <c r="M7" s="4">
        <v>8</v>
      </c>
      <c r="N7" s="4">
        <v>1</v>
      </c>
      <c r="O7" s="4">
        <v>3</v>
      </c>
      <c r="P7" s="4">
        <v>5</v>
      </c>
      <c r="Q7" s="4">
        <v>0</v>
      </c>
      <c r="R7" s="4">
        <v>0</v>
      </c>
      <c r="S7" s="4">
        <v>0</v>
      </c>
      <c r="T7" s="4">
        <v>90</v>
      </c>
      <c r="U7" s="4">
        <v>400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 t="str">
        <f t="shared" si="0"/>
        <v>item_11005</v>
      </c>
    </row>
    <row r="8" spans="1:34" ht="12.75" x14ac:dyDescent="0.3">
      <c r="A8" s="12" t="s">
        <v>197</v>
      </c>
      <c r="B8" s="10">
        <v>11006</v>
      </c>
      <c r="C8" s="30" t="s">
        <v>449</v>
      </c>
      <c r="D8" s="30" t="s">
        <v>508</v>
      </c>
      <c r="E8" s="15" t="s">
        <v>59</v>
      </c>
      <c r="F8" s="16" t="s">
        <v>258</v>
      </c>
      <c r="G8" s="4">
        <v>1</v>
      </c>
      <c r="H8" s="4">
        <v>0</v>
      </c>
      <c r="I8" s="4">
        <v>3</v>
      </c>
      <c r="J8" s="4">
        <v>0</v>
      </c>
      <c r="K8" s="4">
        <v>0</v>
      </c>
      <c r="L8" s="4">
        <v>0</v>
      </c>
      <c r="M8" s="4">
        <v>8</v>
      </c>
      <c r="N8" s="4">
        <v>1</v>
      </c>
      <c r="O8" s="4">
        <v>5</v>
      </c>
      <c r="P8" s="4">
        <v>7</v>
      </c>
      <c r="Q8" s="4">
        <v>0</v>
      </c>
      <c r="R8" s="4">
        <v>0</v>
      </c>
      <c r="S8" s="4">
        <v>0</v>
      </c>
      <c r="T8" s="4">
        <v>90</v>
      </c>
      <c r="U8" s="4">
        <v>400</v>
      </c>
      <c r="V8" s="4">
        <v>110</v>
      </c>
      <c r="W8" s="4">
        <v>0</v>
      </c>
      <c r="X8" s="4">
        <v>10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 t="str">
        <f t="shared" si="0"/>
        <v>item_11006</v>
      </c>
    </row>
    <row r="9" spans="1:34" ht="12.75" x14ac:dyDescent="0.3">
      <c r="A9" s="12" t="s">
        <v>197</v>
      </c>
      <c r="B9" s="10">
        <v>11007</v>
      </c>
      <c r="C9" s="30" t="s">
        <v>450</v>
      </c>
      <c r="D9" s="30" t="s">
        <v>509</v>
      </c>
      <c r="E9" s="15" t="s">
        <v>60</v>
      </c>
      <c r="F9" s="16" t="s">
        <v>259</v>
      </c>
      <c r="G9" s="4">
        <v>1</v>
      </c>
      <c r="H9" s="4">
        <v>0</v>
      </c>
      <c r="I9" s="4">
        <v>1</v>
      </c>
      <c r="J9" s="4">
        <v>0</v>
      </c>
      <c r="K9" s="4">
        <v>0</v>
      </c>
      <c r="L9" s="4">
        <v>0</v>
      </c>
      <c r="M9" s="4">
        <v>4</v>
      </c>
      <c r="N9" s="4">
        <v>1</v>
      </c>
      <c r="O9" s="4">
        <v>1</v>
      </c>
      <c r="P9" s="4">
        <v>3</v>
      </c>
      <c r="Q9" s="4">
        <v>0</v>
      </c>
      <c r="R9" s="4">
        <v>0</v>
      </c>
      <c r="S9" s="4">
        <v>0</v>
      </c>
      <c r="T9" s="4">
        <v>120</v>
      </c>
      <c r="U9" s="4">
        <v>60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 t="str">
        <f t="shared" si="0"/>
        <v>item_11007</v>
      </c>
    </row>
    <row r="10" spans="1:34" ht="12.75" x14ac:dyDescent="0.3">
      <c r="A10" s="12" t="s">
        <v>197</v>
      </c>
      <c r="B10" s="10">
        <v>11008</v>
      </c>
      <c r="C10" s="30" t="s">
        <v>451</v>
      </c>
      <c r="D10" s="30" t="s">
        <v>510</v>
      </c>
      <c r="E10" s="15" t="s">
        <v>61</v>
      </c>
      <c r="F10" s="16" t="s">
        <v>260</v>
      </c>
      <c r="G10" s="4">
        <v>1</v>
      </c>
      <c r="H10" s="4">
        <v>0</v>
      </c>
      <c r="I10" s="4">
        <v>2</v>
      </c>
      <c r="J10" s="4">
        <v>0</v>
      </c>
      <c r="K10" s="4">
        <v>0</v>
      </c>
      <c r="L10" s="4">
        <v>0</v>
      </c>
      <c r="M10" s="4">
        <v>4</v>
      </c>
      <c r="N10" s="4">
        <v>1</v>
      </c>
      <c r="O10" s="4">
        <v>3</v>
      </c>
      <c r="P10" s="4">
        <v>5</v>
      </c>
      <c r="Q10" s="4">
        <v>0</v>
      </c>
      <c r="R10" s="4">
        <v>0</v>
      </c>
      <c r="S10" s="4">
        <v>0</v>
      </c>
      <c r="T10" s="4">
        <v>120</v>
      </c>
      <c r="U10" s="4">
        <v>60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 t="str">
        <f t="shared" si="0"/>
        <v>item_11008</v>
      </c>
    </row>
    <row r="11" spans="1:34" ht="12.75" x14ac:dyDescent="0.3">
      <c r="A11" s="12" t="s">
        <v>197</v>
      </c>
      <c r="B11" s="10">
        <v>11009</v>
      </c>
      <c r="C11" s="30" t="s">
        <v>452</v>
      </c>
      <c r="D11" s="30" t="s">
        <v>511</v>
      </c>
      <c r="E11" s="15" t="s">
        <v>62</v>
      </c>
      <c r="F11" s="16" t="s">
        <v>261</v>
      </c>
      <c r="G11" s="4">
        <v>1</v>
      </c>
      <c r="H11" s="4">
        <v>0</v>
      </c>
      <c r="I11" s="4">
        <v>3</v>
      </c>
      <c r="J11" s="4">
        <v>0</v>
      </c>
      <c r="K11" s="4">
        <v>0</v>
      </c>
      <c r="L11" s="4">
        <v>0</v>
      </c>
      <c r="M11" s="4">
        <v>4</v>
      </c>
      <c r="N11" s="4">
        <v>1</v>
      </c>
      <c r="O11" s="4">
        <v>5</v>
      </c>
      <c r="P11" s="4">
        <v>7</v>
      </c>
      <c r="Q11" s="4">
        <v>0</v>
      </c>
      <c r="R11" s="4">
        <v>0</v>
      </c>
      <c r="S11" s="4">
        <v>0</v>
      </c>
      <c r="T11" s="4">
        <v>120</v>
      </c>
      <c r="U11" s="4">
        <v>60</v>
      </c>
      <c r="V11" s="4">
        <v>107</v>
      </c>
      <c r="W11" s="4">
        <v>0</v>
      </c>
      <c r="X11" s="4">
        <v>10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 t="str">
        <f t="shared" si="0"/>
        <v>item_11009</v>
      </c>
    </row>
    <row r="12" spans="1:34" ht="12.75" x14ac:dyDescent="0.3">
      <c r="A12" s="12" t="s">
        <v>197</v>
      </c>
      <c r="B12" s="10">
        <v>11010</v>
      </c>
      <c r="C12" s="30" t="s">
        <v>453</v>
      </c>
      <c r="D12" s="30" t="s">
        <v>512</v>
      </c>
      <c r="E12" s="15" t="s">
        <v>63</v>
      </c>
      <c r="F12" s="16" t="s">
        <v>262</v>
      </c>
      <c r="G12" s="4">
        <v>1</v>
      </c>
      <c r="H12" s="4">
        <v>0</v>
      </c>
      <c r="I12" s="4">
        <v>1</v>
      </c>
      <c r="J12" s="4">
        <v>0</v>
      </c>
      <c r="K12" s="4">
        <v>0</v>
      </c>
      <c r="L12" s="4">
        <v>0</v>
      </c>
      <c r="M12" s="4">
        <v>2</v>
      </c>
      <c r="N12" s="4">
        <v>1</v>
      </c>
      <c r="O12" s="4">
        <v>3</v>
      </c>
      <c r="P12" s="4">
        <v>5</v>
      </c>
      <c r="Q12" s="4">
        <v>0</v>
      </c>
      <c r="R12" s="4">
        <v>0</v>
      </c>
      <c r="S12" s="4">
        <v>0</v>
      </c>
      <c r="T12" s="4">
        <v>80</v>
      </c>
      <c r="U12" s="4">
        <v>150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 t="str">
        <f t="shared" si="0"/>
        <v>item_11010</v>
      </c>
    </row>
    <row r="13" spans="1:34" ht="12.75" x14ac:dyDescent="0.3">
      <c r="A13" s="12" t="s">
        <v>197</v>
      </c>
      <c r="B13" s="10">
        <v>11011</v>
      </c>
      <c r="C13" s="30" t="s">
        <v>454</v>
      </c>
      <c r="D13" s="30" t="s">
        <v>513</v>
      </c>
      <c r="E13" s="15" t="s">
        <v>64</v>
      </c>
      <c r="F13" s="16" t="s">
        <v>263</v>
      </c>
      <c r="G13" s="4">
        <v>1</v>
      </c>
      <c r="H13" s="4">
        <v>0</v>
      </c>
      <c r="I13" s="4">
        <v>2</v>
      </c>
      <c r="J13" s="4">
        <v>0</v>
      </c>
      <c r="K13" s="4">
        <v>0</v>
      </c>
      <c r="L13" s="4">
        <v>0</v>
      </c>
      <c r="M13" s="4">
        <v>2</v>
      </c>
      <c r="N13" s="4">
        <v>1</v>
      </c>
      <c r="O13" s="4">
        <v>5</v>
      </c>
      <c r="P13" s="4">
        <v>7</v>
      </c>
      <c r="Q13" s="4">
        <v>0</v>
      </c>
      <c r="R13" s="4">
        <v>0</v>
      </c>
      <c r="S13" s="4">
        <v>0</v>
      </c>
      <c r="T13" s="4">
        <v>80</v>
      </c>
      <c r="U13" s="4">
        <v>150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 t="str">
        <f t="shared" si="0"/>
        <v>item_11011</v>
      </c>
    </row>
    <row r="14" spans="1:34" ht="12.75" x14ac:dyDescent="0.3">
      <c r="A14" s="12" t="s">
        <v>197</v>
      </c>
      <c r="B14" s="10">
        <v>11012</v>
      </c>
      <c r="C14" s="30" t="s">
        <v>455</v>
      </c>
      <c r="D14" s="30" t="s">
        <v>514</v>
      </c>
      <c r="E14" s="15" t="s">
        <v>65</v>
      </c>
      <c r="F14" s="16">
        <v>0</v>
      </c>
      <c r="G14" s="4">
        <v>1</v>
      </c>
      <c r="H14" s="4">
        <v>0</v>
      </c>
      <c r="I14" s="4">
        <v>3</v>
      </c>
      <c r="J14" s="4">
        <v>0</v>
      </c>
      <c r="K14" s="4">
        <v>0</v>
      </c>
      <c r="L14" s="4">
        <v>0</v>
      </c>
      <c r="M14" s="4">
        <v>2</v>
      </c>
      <c r="N14" s="4">
        <v>1</v>
      </c>
      <c r="O14" s="4">
        <v>7</v>
      </c>
      <c r="P14" s="4">
        <v>9</v>
      </c>
      <c r="Q14" s="4">
        <v>0</v>
      </c>
      <c r="R14" s="4">
        <v>0</v>
      </c>
      <c r="S14" s="4">
        <v>0</v>
      </c>
      <c r="T14" s="4">
        <v>80</v>
      </c>
      <c r="U14" s="4">
        <v>150</v>
      </c>
      <c r="V14" s="4">
        <v>113</v>
      </c>
      <c r="W14" s="4">
        <v>0</v>
      </c>
      <c r="X14" s="4">
        <v>15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 t="str">
        <f t="shared" si="0"/>
        <v>item_11012</v>
      </c>
    </row>
    <row r="15" spans="1:34" ht="12.75" x14ac:dyDescent="0.3">
      <c r="A15" s="12" t="s">
        <v>197</v>
      </c>
      <c r="B15" s="10">
        <v>11013</v>
      </c>
      <c r="C15" s="30" t="s">
        <v>456</v>
      </c>
      <c r="D15" s="30" t="s">
        <v>515</v>
      </c>
      <c r="E15" s="15" t="s">
        <v>66</v>
      </c>
      <c r="F15" s="16">
        <v>0</v>
      </c>
      <c r="G15" s="4">
        <v>1</v>
      </c>
      <c r="H15" s="4">
        <v>0</v>
      </c>
      <c r="I15" s="4">
        <v>1</v>
      </c>
      <c r="J15" s="4">
        <v>0</v>
      </c>
      <c r="K15" s="4">
        <v>0</v>
      </c>
      <c r="L15" s="4">
        <v>0</v>
      </c>
      <c r="M15" s="4">
        <v>16</v>
      </c>
      <c r="N15" s="4">
        <v>2</v>
      </c>
      <c r="O15" s="4">
        <v>1</v>
      </c>
      <c r="P15" s="4">
        <v>2</v>
      </c>
      <c r="Q15" s="4">
        <v>0</v>
      </c>
      <c r="R15" s="4">
        <v>0</v>
      </c>
      <c r="S15" s="4">
        <v>0</v>
      </c>
      <c r="T15" s="4">
        <v>100</v>
      </c>
      <c r="U15" s="4">
        <v>300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 t="str">
        <f t="shared" si="0"/>
        <v>item_11013</v>
      </c>
    </row>
    <row r="16" spans="1:34" ht="12.75" x14ac:dyDescent="0.3">
      <c r="A16" s="12" t="s">
        <v>197</v>
      </c>
      <c r="B16" s="10">
        <v>11014</v>
      </c>
      <c r="C16" s="30" t="s">
        <v>457</v>
      </c>
      <c r="D16" s="30" t="s">
        <v>516</v>
      </c>
      <c r="E16" s="15" t="s">
        <v>67</v>
      </c>
      <c r="F16" s="16">
        <v>0</v>
      </c>
      <c r="G16" s="4">
        <v>1</v>
      </c>
      <c r="H16" s="4">
        <v>0</v>
      </c>
      <c r="I16" s="4">
        <v>2</v>
      </c>
      <c r="J16" s="4">
        <v>0</v>
      </c>
      <c r="K16" s="4">
        <v>0</v>
      </c>
      <c r="L16" s="4">
        <v>0</v>
      </c>
      <c r="M16" s="4">
        <v>16</v>
      </c>
      <c r="N16" s="4">
        <v>2</v>
      </c>
      <c r="O16" s="4">
        <v>2</v>
      </c>
      <c r="P16" s="4">
        <v>3</v>
      </c>
      <c r="Q16" s="4">
        <v>0</v>
      </c>
      <c r="R16" s="4">
        <v>0</v>
      </c>
      <c r="S16" s="4">
        <v>0</v>
      </c>
      <c r="T16" s="4">
        <v>100</v>
      </c>
      <c r="U16" s="4">
        <v>300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 t="str">
        <f t="shared" si="0"/>
        <v>item_11014</v>
      </c>
    </row>
    <row r="17" spans="1:34" ht="12.75" x14ac:dyDescent="0.3">
      <c r="A17" s="12" t="s">
        <v>197</v>
      </c>
      <c r="B17" s="10">
        <v>11015</v>
      </c>
      <c r="C17" s="30" t="s">
        <v>458</v>
      </c>
      <c r="D17" s="30" t="s">
        <v>517</v>
      </c>
      <c r="E17" s="15" t="s">
        <v>68</v>
      </c>
      <c r="F17" s="16">
        <v>0</v>
      </c>
      <c r="G17" s="4">
        <v>1</v>
      </c>
      <c r="H17" s="4">
        <v>0</v>
      </c>
      <c r="I17" s="4">
        <v>3</v>
      </c>
      <c r="J17" s="4">
        <v>0</v>
      </c>
      <c r="K17" s="4">
        <v>0</v>
      </c>
      <c r="L17" s="4">
        <v>0</v>
      </c>
      <c r="M17" s="4">
        <v>16</v>
      </c>
      <c r="N17" s="4">
        <v>2</v>
      </c>
      <c r="O17" s="4">
        <v>3</v>
      </c>
      <c r="P17" s="4">
        <v>4</v>
      </c>
      <c r="Q17" s="4">
        <v>0</v>
      </c>
      <c r="R17" s="4">
        <v>0</v>
      </c>
      <c r="S17" s="4">
        <v>0</v>
      </c>
      <c r="T17" s="4">
        <v>100</v>
      </c>
      <c r="U17" s="4">
        <v>300</v>
      </c>
      <c r="V17" s="4">
        <v>115</v>
      </c>
      <c r="W17" s="4">
        <v>0</v>
      </c>
      <c r="X17" s="4">
        <v>30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 t="str">
        <f t="shared" si="0"/>
        <v>item_11015</v>
      </c>
    </row>
    <row r="18" spans="1:34" ht="12.75" x14ac:dyDescent="0.3">
      <c r="A18" s="12" t="s">
        <v>197</v>
      </c>
      <c r="B18" s="10">
        <v>11016</v>
      </c>
      <c r="C18" s="30" t="s">
        <v>459</v>
      </c>
      <c r="D18" s="30" t="s">
        <v>518</v>
      </c>
      <c r="E18" s="15" t="s">
        <v>198</v>
      </c>
      <c r="F18" s="16" t="s">
        <v>199</v>
      </c>
      <c r="G18" s="4">
        <v>1</v>
      </c>
      <c r="H18" s="4">
        <v>0</v>
      </c>
      <c r="I18" s="4">
        <v>5</v>
      </c>
      <c r="J18" s="4">
        <v>0</v>
      </c>
      <c r="K18" s="4">
        <v>0</v>
      </c>
      <c r="L18" s="4">
        <v>0</v>
      </c>
      <c r="M18" s="4">
        <v>1</v>
      </c>
      <c r="N18" s="4">
        <v>1</v>
      </c>
      <c r="O18" s="4">
        <v>2</v>
      </c>
      <c r="P18" s="4">
        <v>4</v>
      </c>
      <c r="Q18" s="4">
        <v>0</v>
      </c>
      <c r="R18" s="4">
        <v>0</v>
      </c>
      <c r="S18" s="4">
        <v>0</v>
      </c>
      <c r="T18" s="4">
        <v>100</v>
      </c>
      <c r="U18" s="4">
        <v>100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 t="str">
        <f t="shared" si="0"/>
        <v>item_11016</v>
      </c>
    </row>
    <row r="19" spans="1:34" ht="12.75" x14ac:dyDescent="0.3">
      <c r="A19" s="12" t="s">
        <v>197</v>
      </c>
      <c r="B19" s="10">
        <v>11017</v>
      </c>
      <c r="C19" s="30" t="s">
        <v>460</v>
      </c>
      <c r="D19" s="30" t="s">
        <v>519</v>
      </c>
      <c r="E19" s="15" t="s">
        <v>200</v>
      </c>
      <c r="F19" s="16" t="s">
        <v>201</v>
      </c>
      <c r="G19" s="4">
        <v>1</v>
      </c>
      <c r="H19" s="4">
        <v>0</v>
      </c>
      <c r="I19" s="4">
        <v>5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7</v>
      </c>
      <c r="P19" s="4">
        <v>9</v>
      </c>
      <c r="Q19" s="4">
        <v>0</v>
      </c>
      <c r="R19" s="4">
        <v>0</v>
      </c>
      <c r="S19" s="4">
        <v>0</v>
      </c>
      <c r="T19" s="4">
        <v>100</v>
      </c>
      <c r="U19" s="4">
        <v>100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 t="str">
        <f t="shared" si="0"/>
        <v>item_11017</v>
      </c>
    </row>
    <row r="20" spans="1:34" ht="12.75" x14ac:dyDescent="0.3">
      <c r="A20" s="12" t="s">
        <v>197</v>
      </c>
      <c r="B20" s="10">
        <v>11018</v>
      </c>
      <c r="C20" s="30" t="s">
        <v>461</v>
      </c>
      <c r="D20" s="30" t="s">
        <v>520</v>
      </c>
      <c r="E20" s="15" t="s">
        <v>202</v>
      </c>
      <c r="F20" s="16" t="s">
        <v>203</v>
      </c>
      <c r="G20" s="4">
        <v>1</v>
      </c>
      <c r="H20" s="4">
        <v>0</v>
      </c>
      <c r="I20" s="4">
        <v>5</v>
      </c>
      <c r="J20" s="4">
        <v>0</v>
      </c>
      <c r="K20" s="4">
        <v>0</v>
      </c>
      <c r="L20" s="4">
        <v>0</v>
      </c>
      <c r="M20" s="4">
        <v>1</v>
      </c>
      <c r="N20" s="4">
        <v>1</v>
      </c>
      <c r="O20" s="4">
        <v>8</v>
      </c>
      <c r="P20" s="4">
        <v>10</v>
      </c>
      <c r="Q20" s="4">
        <v>0</v>
      </c>
      <c r="R20" s="4">
        <v>0</v>
      </c>
      <c r="S20" s="4">
        <v>0</v>
      </c>
      <c r="T20" s="4">
        <v>100</v>
      </c>
      <c r="U20" s="4">
        <v>100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 t="str">
        <f t="shared" si="0"/>
        <v>item_11018</v>
      </c>
    </row>
    <row r="21" spans="1:34" ht="12.75" x14ac:dyDescent="0.3">
      <c r="A21" s="12" t="s">
        <v>197</v>
      </c>
      <c r="B21" s="10">
        <v>11019</v>
      </c>
      <c r="C21" s="30" t="s">
        <v>462</v>
      </c>
      <c r="D21" s="30" t="s">
        <v>521</v>
      </c>
      <c r="E21" s="15" t="s">
        <v>204</v>
      </c>
      <c r="F21" s="16" t="s">
        <v>205</v>
      </c>
      <c r="G21" s="4">
        <v>1</v>
      </c>
      <c r="H21" s="4">
        <v>0</v>
      </c>
      <c r="I21" s="4">
        <v>5</v>
      </c>
      <c r="J21" s="4">
        <v>0</v>
      </c>
      <c r="K21" s="4">
        <v>0</v>
      </c>
      <c r="L21" s="4">
        <v>0</v>
      </c>
      <c r="M21" s="4">
        <v>8</v>
      </c>
      <c r="N21" s="4">
        <v>1</v>
      </c>
      <c r="O21" s="4">
        <v>5</v>
      </c>
      <c r="P21" s="4">
        <v>5</v>
      </c>
      <c r="Q21" s="4">
        <v>0</v>
      </c>
      <c r="R21" s="4">
        <v>0</v>
      </c>
      <c r="S21" s="4">
        <v>0</v>
      </c>
      <c r="T21" s="4">
        <v>90</v>
      </c>
      <c r="U21" s="4">
        <v>300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 t="str">
        <f t="shared" si="0"/>
        <v>item_11019</v>
      </c>
    </row>
    <row r="22" spans="1:34" ht="12.75" x14ac:dyDescent="0.3">
      <c r="A22" s="12" t="s">
        <v>197</v>
      </c>
      <c r="B22" s="10">
        <v>11020</v>
      </c>
      <c r="C22" s="30" t="s">
        <v>463</v>
      </c>
      <c r="D22" s="30" t="s">
        <v>522</v>
      </c>
      <c r="E22" s="15" t="s">
        <v>206</v>
      </c>
      <c r="F22" s="16" t="s">
        <v>207</v>
      </c>
      <c r="G22" s="4">
        <v>1</v>
      </c>
      <c r="H22" s="4">
        <v>0</v>
      </c>
      <c r="I22" s="4">
        <v>5</v>
      </c>
      <c r="J22" s="4">
        <v>0</v>
      </c>
      <c r="K22" s="4">
        <v>0</v>
      </c>
      <c r="L22" s="4">
        <v>0</v>
      </c>
      <c r="M22" s="4">
        <v>8</v>
      </c>
      <c r="N22" s="4">
        <v>1</v>
      </c>
      <c r="O22" s="4">
        <v>5</v>
      </c>
      <c r="P22" s="4">
        <v>7</v>
      </c>
      <c r="Q22" s="4">
        <v>0</v>
      </c>
      <c r="R22" s="4">
        <v>0</v>
      </c>
      <c r="S22" s="4">
        <v>0</v>
      </c>
      <c r="T22" s="4">
        <v>90</v>
      </c>
      <c r="U22" s="4">
        <v>400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 t="str">
        <f t="shared" si="0"/>
        <v>item_11020</v>
      </c>
    </row>
    <row r="23" spans="1:34" ht="12.75" x14ac:dyDescent="0.3">
      <c r="A23" s="12" t="s">
        <v>197</v>
      </c>
      <c r="B23" s="10">
        <v>11021</v>
      </c>
      <c r="C23" s="30" t="s">
        <v>464</v>
      </c>
      <c r="D23" s="30" t="s">
        <v>523</v>
      </c>
      <c r="E23" s="15" t="s">
        <v>208</v>
      </c>
      <c r="F23" s="16" t="s">
        <v>209</v>
      </c>
      <c r="G23" s="4">
        <v>1</v>
      </c>
      <c r="H23" s="4">
        <v>0</v>
      </c>
      <c r="I23" s="4">
        <v>5</v>
      </c>
      <c r="J23" s="4">
        <v>0</v>
      </c>
      <c r="K23" s="4">
        <v>0</v>
      </c>
      <c r="L23" s="4">
        <v>0</v>
      </c>
      <c r="M23" s="4">
        <v>8</v>
      </c>
      <c r="N23" s="4">
        <v>1</v>
      </c>
      <c r="O23" s="4">
        <v>10</v>
      </c>
      <c r="P23" s="4">
        <v>20</v>
      </c>
      <c r="Q23" s="4">
        <v>0</v>
      </c>
      <c r="R23" s="4">
        <v>0</v>
      </c>
      <c r="S23" s="4">
        <v>0</v>
      </c>
      <c r="T23" s="4">
        <v>50</v>
      </c>
      <c r="U23" s="4">
        <v>9999</v>
      </c>
      <c r="V23" s="4">
        <v>112</v>
      </c>
      <c r="W23" s="4">
        <v>0</v>
      </c>
      <c r="X23" s="4">
        <v>-90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 t="str">
        <f t="shared" si="0"/>
        <v>item_11021</v>
      </c>
    </row>
    <row r="24" spans="1:34" ht="12.75" x14ac:dyDescent="0.3">
      <c r="A24" s="12" t="s">
        <v>197</v>
      </c>
      <c r="B24" s="10">
        <v>11022</v>
      </c>
      <c r="C24" s="30" t="s">
        <v>465</v>
      </c>
      <c r="D24" s="30" t="s">
        <v>524</v>
      </c>
      <c r="E24" s="15" t="s">
        <v>210</v>
      </c>
      <c r="F24" s="16" t="s">
        <v>211</v>
      </c>
      <c r="G24" s="4">
        <v>1</v>
      </c>
      <c r="H24" s="4">
        <v>0</v>
      </c>
      <c r="I24" s="4">
        <v>5</v>
      </c>
      <c r="J24" s="4">
        <v>0</v>
      </c>
      <c r="K24" s="4">
        <v>0</v>
      </c>
      <c r="L24" s="4">
        <v>0</v>
      </c>
      <c r="M24" s="4">
        <v>4</v>
      </c>
      <c r="N24" s="4">
        <v>1</v>
      </c>
      <c r="O24" s="4">
        <v>7</v>
      </c>
      <c r="P24" s="4">
        <v>9</v>
      </c>
      <c r="Q24" s="4">
        <v>0</v>
      </c>
      <c r="R24" s="4">
        <v>0</v>
      </c>
      <c r="S24" s="4">
        <v>0</v>
      </c>
      <c r="T24" s="4">
        <v>120</v>
      </c>
      <c r="U24" s="4">
        <v>60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 t="str">
        <f t="shared" si="0"/>
        <v>item_11022</v>
      </c>
    </row>
    <row r="25" spans="1:34" ht="12.75" x14ac:dyDescent="0.3">
      <c r="A25" s="12" t="s">
        <v>197</v>
      </c>
      <c r="B25" s="10">
        <v>11023</v>
      </c>
      <c r="C25" s="30" t="s">
        <v>466</v>
      </c>
      <c r="D25" s="30" t="s">
        <v>525</v>
      </c>
      <c r="E25" s="15" t="s">
        <v>212</v>
      </c>
      <c r="F25" s="16" t="s">
        <v>213</v>
      </c>
      <c r="G25" s="4">
        <v>1</v>
      </c>
      <c r="H25" s="4">
        <v>0</v>
      </c>
      <c r="I25" s="4">
        <v>5</v>
      </c>
      <c r="J25" s="4">
        <v>0</v>
      </c>
      <c r="K25" s="4">
        <v>0</v>
      </c>
      <c r="L25" s="4">
        <v>0</v>
      </c>
      <c r="M25" s="4">
        <v>4</v>
      </c>
      <c r="N25" s="4">
        <v>1</v>
      </c>
      <c r="O25" s="4">
        <v>6</v>
      </c>
      <c r="P25" s="4">
        <v>8</v>
      </c>
      <c r="Q25" s="4">
        <v>0</v>
      </c>
      <c r="R25" s="4">
        <v>0</v>
      </c>
      <c r="S25" s="4">
        <v>0</v>
      </c>
      <c r="T25" s="4">
        <v>120</v>
      </c>
      <c r="U25" s="4">
        <v>50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 t="str">
        <f t="shared" si="0"/>
        <v>item_11023</v>
      </c>
    </row>
    <row r="26" spans="1:34" ht="12.75" x14ac:dyDescent="0.3">
      <c r="A26" s="12" t="s">
        <v>197</v>
      </c>
      <c r="B26" s="10">
        <v>11024</v>
      </c>
      <c r="C26" s="30" t="s">
        <v>467</v>
      </c>
      <c r="D26" s="30" t="s">
        <v>526</v>
      </c>
      <c r="E26" s="15" t="s">
        <v>214</v>
      </c>
      <c r="F26" s="16" t="s">
        <v>215</v>
      </c>
      <c r="G26" s="4">
        <v>1</v>
      </c>
      <c r="H26" s="4">
        <v>0</v>
      </c>
      <c r="I26" s="4">
        <v>5</v>
      </c>
      <c r="J26" s="4">
        <v>0</v>
      </c>
      <c r="K26" s="4">
        <v>0</v>
      </c>
      <c r="L26" s="4">
        <v>0</v>
      </c>
      <c r="M26" s="4">
        <v>4</v>
      </c>
      <c r="N26" s="4">
        <v>1</v>
      </c>
      <c r="O26" s="4">
        <v>5</v>
      </c>
      <c r="P26" s="4">
        <v>7</v>
      </c>
      <c r="Q26" s="4">
        <v>0</v>
      </c>
      <c r="R26" s="4">
        <v>0</v>
      </c>
      <c r="S26" s="4">
        <v>0</v>
      </c>
      <c r="T26" s="4">
        <v>100</v>
      </c>
      <c r="U26" s="4">
        <v>60</v>
      </c>
      <c r="V26" s="4">
        <v>122</v>
      </c>
      <c r="W26" s="4">
        <v>12</v>
      </c>
      <c r="X26" s="4">
        <v>1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 t="str">
        <f t="shared" si="0"/>
        <v>item_11024</v>
      </c>
    </row>
    <row r="27" spans="1:34" ht="12.75" x14ac:dyDescent="0.3">
      <c r="A27" s="12" t="s">
        <v>197</v>
      </c>
      <c r="B27" s="10">
        <v>11025</v>
      </c>
      <c r="C27" s="30" t="s">
        <v>468</v>
      </c>
      <c r="D27" s="30" t="s">
        <v>527</v>
      </c>
      <c r="E27" s="15" t="s">
        <v>216</v>
      </c>
      <c r="F27" s="16" t="s">
        <v>217</v>
      </c>
      <c r="G27" s="4">
        <v>1</v>
      </c>
      <c r="H27" s="4">
        <v>0</v>
      </c>
      <c r="I27" s="4">
        <v>5</v>
      </c>
      <c r="J27" s="4">
        <v>0</v>
      </c>
      <c r="K27" s="4">
        <v>0</v>
      </c>
      <c r="L27" s="4">
        <v>0</v>
      </c>
      <c r="M27" s="4">
        <v>2</v>
      </c>
      <c r="N27" s="4">
        <v>1</v>
      </c>
      <c r="O27" s="4">
        <v>9</v>
      </c>
      <c r="P27" s="4">
        <v>11</v>
      </c>
      <c r="Q27" s="4">
        <v>0</v>
      </c>
      <c r="R27" s="4">
        <v>0</v>
      </c>
      <c r="S27" s="4">
        <v>0</v>
      </c>
      <c r="T27" s="4">
        <v>80</v>
      </c>
      <c r="U27" s="4">
        <v>150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 t="str">
        <f t="shared" si="0"/>
        <v>item_11025</v>
      </c>
    </row>
    <row r="28" spans="1:34" ht="12.75" x14ac:dyDescent="0.3">
      <c r="A28" s="12" t="s">
        <v>197</v>
      </c>
      <c r="B28" s="10">
        <v>11026</v>
      </c>
      <c r="C28" s="30" t="s">
        <v>469</v>
      </c>
      <c r="D28" s="30" t="s">
        <v>528</v>
      </c>
      <c r="E28" s="15" t="s">
        <v>218</v>
      </c>
      <c r="F28" s="16" t="s">
        <v>219</v>
      </c>
      <c r="G28" s="4">
        <v>1</v>
      </c>
      <c r="H28" s="4">
        <v>0</v>
      </c>
      <c r="I28" s="4">
        <v>5</v>
      </c>
      <c r="J28" s="4">
        <v>0</v>
      </c>
      <c r="K28" s="4">
        <v>0</v>
      </c>
      <c r="L28" s="4">
        <v>0</v>
      </c>
      <c r="M28" s="4">
        <v>2</v>
      </c>
      <c r="N28" s="4">
        <v>1</v>
      </c>
      <c r="O28" s="4">
        <v>10</v>
      </c>
      <c r="P28" s="4">
        <v>10</v>
      </c>
      <c r="Q28" s="4">
        <v>0</v>
      </c>
      <c r="R28" s="4">
        <v>0</v>
      </c>
      <c r="S28" s="4">
        <v>0</v>
      </c>
      <c r="T28" s="4">
        <v>80</v>
      </c>
      <c r="U28" s="4">
        <v>130</v>
      </c>
      <c r="V28" s="4">
        <v>113</v>
      </c>
      <c r="W28" s="4">
        <v>0</v>
      </c>
      <c r="X28" s="4">
        <v>50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 t="str">
        <f t="shared" si="0"/>
        <v>item_11026</v>
      </c>
    </row>
    <row r="29" spans="1:34" ht="12.75" x14ac:dyDescent="0.3">
      <c r="A29" s="12" t="s">
        <v>197</v>
      </c>
      <c r="B29" s="10">
        <v>11027</v>
      </c>
      <c r="C29" s="30" t="s">
        <v>470</v>
      </c>
      <c r="D29" s="30" t="s">
        <v>529</v>
      </c>
      <c r="E29" s="15" t="s">
        <v>220</v>
      </c>
      <c r="F29" s="16" t="s">
        <v>221</v>
      </c>
      <c r="G29" s="4">
        <v>1</v>
      </c>
      <c r="H29" s="4">
        <v>0</v>
      </c>
      <c r="I29" s="4">
        <v>5</v>
      </c>
      <c r="J29" s="4">
        <v>0</v>
      </c>
      <c r="K29" s="4">
        <v>0</v>
      </c>
      <c r="L29" s="4">
        <v>0</v>
      </c>
      <c r="M29" s="4">
        <v>2</v>
      </c>
      <c r="N29" s="4">
        <v>1</v>
      </c>
      <c r="O29" s="4">
        <v>11</v>
      </c>
      <c r="P29" s="4">
        <v>13</v>
      </c>
      <c r="Q29" s="4">
        <v>0</v>
      </c>
      <c r="R29" s="4">
        <v>0</v>
      </c>
      <c r="S29" s="4">
        <v>0</v>
      </c>
      <c r="T29" s="4">
        <v>70</v>
      </c>
      <c r="U29" s="4">
        <v>200</v>
      </c>
      <c r="V29" s="4">
        <v>107</v>
      </c>
      <c r="W29" s="4">
        <v>0</v>
      </c>
      <c r="X29" s="4">
        <v>-10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 t="str">
        <f t="shared" si="0"/>
        <v>item_11027</v>
      </c>
    </row>
    <row r="30" spans="1:34" ht="12.75" x14ac:dyDescent="0.3">
      <c r="A30" s="12" t="s">
        <v>197</v>
      </c>
      <c r="B30" s="10">
        <v>11028</v>
      </c>
      <c r="C30" s="30" t="s">
        <v>471</v>
      </c>
      <c r="D30" s="30" t="s">
        <v>530</v>
      </c>
      <c r="E30" s="15" t="s">
        <v>222</v>
      </c>
      <c r="F30" s="16" t="s">
        <v>223</v>
      </c>
      <c r="G30" s="4">
        <v>1</v>
      </c>
      <c r="H30" s="4">
        <v>0</v>
      </c>
      <c r="I30" s="4">
        <v>5</v>
      </c>
      <c r="J30" s="4">
        <v>0</v>
      </c>
      <c r="K30" s="4">
        <v>0</v>
      </c>
      <c r="L30" s="4">
        <v>0</v>
      </c>
      <c r="M30" s="4">
        <v>16</v>
      </c>
      <c r="N30" s="4">
        <v>2</v>
      </c>
      <c r="O30" s="4">
        <v>5</v>
      </c>
      <c r="P30" s="4">
        <v>7</v>
      </c>
      <c r="Q30" s="4">
        <v>0</v>
      </c>
      <c r="R30" s="4">
        <v>0</v>
      </c>
      <c r="S30" s="4">
        <v>0</v>
      </c>
      <c r="T30" s="4">
        <v>100</v>
      </c>
      <c r="U30" s="4">
        <v>300</v>
      </c>
      <c r="V30" s="4">
        <v>124</v>
      </c>
      <c r="W30" s="4">
        <v>0</v>
      </c>
      <c r="X30" s="4">
        <v>50</v>
      </c>
      <c r="Y30" s="4">
        <v>113</v>
      </c>
      <c r="Z30" s="4">
        <v>0</v>
      </c>
      <c r="AA30" s="4">
        <v>-50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 t="str">
        <f t="shared" si="0"/>
        <v>item_11028</v>
      </c>
    </row>
    <row r="31" spans="1:34" ht="12.75" x14ac:dyDescent="0.3">
      <c r="A31" s="12" t="s">
        <v>197</v>
      </c>
      <c r="B31" s="10">
        <v>11029</v>
      </c>
      <c r="C31" s="30" t="s">
        <v>472</v>
      </c>
      <c r="D31" s="30" t="s">
        <v>531</v>
      </c>
      <c r="E31" s="15" t="s">
        <v>224</v>
      </c>
      <c r="F31" s="16" t="s">
        <v>225</v>
      </c>
      <c r="G31" s="4">
        <v>1</v>
      </c>
      <c r="H31" s="4">
        <v>0</v>
      </c>
      <c r="I31" s="4">
        <v>5</v>
      </c>
      <c r="J31" s="4">
        <v>0</v>
      </c>
      <c r="K31" s="4">
        <v>0</v>
      </c>
      <c r="L31" s="4">
        <v>0</v>
      </c>
      <c r="M31" s="4">
        <v>16</v>
      </c>
      <c r="N31" s="4">
        <v>2</v>
      </c>
      <c r="O31" s="4">
        <v>6</v>
      </c>
      <c r="P31" s="4">
        <v>6</v>
      </c>
      <c r="Q31" s="4">
        <v>0</v>
      </c>
      <c r="R31" s="4">
        <v>0</v>
      </c>
      <c r="S31" s="4">
        <v>0</v>
      </c>
      <c r="T31" s="4">
        <v>100</v>
      </c>
      <c r="U31" s="4">
        <v>300</v>
      </c>
      <c r="V31" s="4">
        <v>113</v>
      </c>
      <c r="W31" s="4">
        <v>0</v>
      </c>
      <c r="X31" s="4">
        <v>100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 t="str">
        <f t="shared" si="0"/>
        <v>item_11029</v>
      </c>
    </row>
    <row r="32" spans="1:34" ht="12.75" x14ac:dyDescent="0.3">
      <c r="A32" s="12" t="s">
        <v>197</v>
      </c>
      <c r="B32" s="10">
        <v>11030</v>
      </c>
      <c r="C32" s="30" t="s">
        <v>473</v>
      </c>
      <c r="D32" s="30" t="s">
        <v>532</v>
      </c>
      <c r="E32" s="15" t="s">
        <v>226</v>
      </c>
      <c r="F32" s="16" t="s">
        <v>227</v>
      </c>
      <c r="G32" s="4">
        <v>1</v>
      </c>
      <c r="H32" s="4">
        <v>0</v>
      </c>
      <c r="I32" s="4">
        <v>5</v>
      </c>
      <c r="J32" s="4">
        <v>0</v>
      </c>
      <c r="K32" s="4">
        <v>0</v>
      </c>
      <c r="L32" s="4">
        <v>0</v>
      </c>
      <c r="M32" s="4">
        <v>16</v>
      </c>
      <c r="N32" s="4">
        <v>2</v>
      </c>
      <c r="O32" s="4">
        <v>5</v>
      </c>
      <c r="P32" s="4">
        <v>6</v>
      </c>
      <c r="Q32" s="4">
        <v>0</v>
      </c>
      <c r="R32" s="4">
        <v>0</v>
      </c>
      <c r="S32" s="4">
        <v>0</v>
      </c>
      <c r="T32" s="4">
        <v>100</v>
      </c>
      <c r="U32" s="4">
        <v>300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 t="str">
        <f t="shared" si="0"/>
        <v>item_11030</v>
      </c>
    </row>
    <row r="33" spans="1:34" x14ac:dyDescent="0.3">
      <c r="A33" s="19" t="s">
        <v>197</v>
      </c>
      <c r="B33" s="19">
        <v>11031</v>
      </c>
      <c r="C33" s="20">
        <v>1</v>
      </c>
      <c r="D33" s="20">
        <v>1</v>
      </c>
      <c r="E33" s="20" t="s">
        <v>300</v>
      </c>
      <c r="F33" s="21" t="s">
        <v>301</v>
      </c>
      <c r="G33" s="21">
        <v>1</v>
      </c>
      <c r="H33" s="21">
        <v>0</v>
      </c>
      <c r="I33" s="21">
        <v>4</v>
      </c>
      <c r="J33" s="21">
        <v>0</v>
      </c>
      <c r="K33" s="21">
        <v>0</v>
      </c>
      <c r="L33" s="21">
        <v>0</v>
      </c>
      <c r="M33" s="21">
        <v>1</v>
      </c>
      <c r="N33" s="21">
        <v>1</v>
      </c>
      <c r="O33" s="21">
        <v>1</v>
      </c>
      <c r="P33" s="21">
        <v>1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 t="str">
        <f t="shared" si="0"/>
        <v>item_11031</v>
      </c>
    </row>
    <row r="34" spans="1:34" x14ac:dyDescent="0.3">
      <c r="A34" s="19" t="s">
        <v>197</v>
      </c>
      <c r="B34" s="19">
        <v>11032</v>
      </c>
      <c r="C34" s="20">
        <v>1</v>
      </c>
      <c r="D34" s="20">
        <v>1</v>
      </c>
      <c r="E34" s="20" t="s">
        <v>300</v>
      </c>
      <c r="F34" s="21" t="s">
        <v>301</v>
      </c>
      <c r="G34" s="21">
        <v>1</v>
      </c>
      <c r="H34" s="21">
        <v>0</v>
      </c>
      <c r="I34" s="21">
        <v>4</v>
      </c>
      <c r="J34" s="21">
        <v>0</v>
      </c>
      <c r="K34" s="21">
        <v>0</v>
      </c>
      <c r="L34" s="21">
        <v>0</v>
      </c>
      <c r="M34" s="21">
        <v>1</v>
      </c>
      <c r="N34" s="21">
        <v>1</v>
      </c>
      <c r="O34" s="21">
        <v>1</v>
      </c>
      <c r="P34" s="21">
        <v>1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0</v>
      </c>
      <c r="AH34" s="21" t="str">
        <f t="shared" si="0"/>
        <v>item_11032</v>
      </c>
    </row>
    <row r="35" spans="1:34" x14ac:dyDescent="0.3">
      <c r="A35" s="19" t="s">
        <v>197</v>
      </c>
      <c r="B35" s="19">
        <v>11033</v>
      </c>
      <c r="C35" s="20">
        <v>1</v>
      </c>
      <c r="D35" s="20">
        <v>1</v>
      </c>
      <c r="E35" s="20" t="s">
        <v>300</v>
      </c>
      <c r="F35" s="21" t="s">
        <v>301</v>
      </c>
      <c r="G35" s="21">
        <v>1</v>
      </c>
      <c r="H35" s="21">
        <v>0</v>
      </c>
      <c r="I35" s="21">
        <v>4</v>
      </c>
      <c r="J35" s="21">
        <v>0</v>
      </c>
      <c r="K35" s="21">
        <v>0</v>
      </c>
      <c r="L35" s="21">
        <v>0</v>
      </c>
      <c r="M35" s="21">
        <v>1</v>
      </c>
      <c r="N35" s="21">
        <v>1</v>
      </c>
      <c r="O35" s="21">
        <v>1</v>
      </c>
      <c r="P35" s="21">
        <v>1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 t="str">
        <f t="shared" si="0"/>
        <v>item_11033</v>
      </c>
    </row>
    <row r="36" spans="1:34" x14ac:dyDescent="0.3">
      <c r="A36" s="19" t="s">
        <v>197</v>
      </c>
      <c r="B36" s="19">
        <v>11034</v>
      </c>
      <c r="C36" s="20">
        <v>1</v>
      </c>
      <c r="D36" s="20">
        <v>1</v>
      </c>
      <c r="E36" s="20" t="s">
        <v>300</v>
      </c>
      <c r="F36" s="21" t="s">
        <v>301</v>
      </c>
      <c r="G36" s="21">
        <v>1</v>
      </c>
      <c r="H36" s="21">
        <v>0</v>
      </c>
      <c r="I36" s="21">
        <v>4</v>
      </c>
      <c r="J36" s="21">
        <v>0</v>
      </c>
      <c r="K36" s="21">
        <v>0</v>
      </c>
      <c r="L36" s="21">
        <v>0</v>
      </c>
      <c r="M36" s="21">
        <v>1</v>
      </c>
      <c r="N36" s="21">
        <v>1</v>
      </c>
      <c r="O36" s="21">
        <v>1</v>
      </c>
      <c r="P36" s="21">
        <v>1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 t="str">
        <f t="shared" si="0"/>
        <v>item_11034</v>
      </c>
    </row>
    <row r="37" spans="1:34" x14ac:dyDescent="0.3">
      <c r="A37" s="19" t="s">
        <v>197</v>
      </c>
      <c r="B37" s="19">
        <v>11035</v>
      </c>
      <c r="C37" s="20">
        <v>1</v>
      </c>
      <c r="D37" s="20">
        <v>1</v>
      </c>
      <c r="E37" s="20" t="s">
        <v>300</v>
      </c>
      <c r="F37" s="21" t="s">
        <v>301</v>
      </c>
      <c r="G37" s="21">
        <v>1</v>
      </c>
      <c r="H37" s="21">
        <v>0</v>
      </c>
      <c r="I37" s="21">
        <v>4</v>
      </c>
      <c r="J37" s="21">
        <v>0</v>
      </c>
      <c r="K37" s="21">
        <v>0</v>
      </c>
      <c r="L37" s="21">
        <v>0</v>
      </c>
      <c r="M37" s="21">
        <v>1</v>
      </c>
      <c r="N37" s="21">
        <v>1</v>
      </c>
      <c r="O37" s="21">
        <v>1</v>
      </c>
      <c r="P37" s="21">
        <v>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 t="str">
        <f t="shared" si="0"/>
        <v>item_11035</v>
      </c>
    </row>
    <row r="38" spans="1:34" x14ac:dyDescent="0.3">
      <c r="A38" s="19" t="s">
        <v>197</v>
      </c>
      <c r="B38" s="19">
        <v>11036</v>
      </c>
      <c r="C38" s="20">
        <v>1</v>
      </c>
      <c r="D38" s="20">
        <v>1</v>
      </c>
      <c r="E38" s="20" t="s">
        <v>300</v>
      </c>
      <c r="F38" s="21" t="s">
        <v>301</v>
      </c>
      <c r="G38" s="21">
        <v>1</v>
      </c>
      <c r="H38" s="21">
        <v>0</v>
      </c>
      <c r="I38" s="21">
        <v>4</v>
      </c>
      <c r="J38" s="21">
        <v>0</v>
      </c>
      <c r="K38" s="21">
        <v>0</v>
      </c>
      <c r="L38" s="21">
        <v>0</v>
      </c>
      <c r="M38" s="21">
        <v>1</v>
      </c>
      <c r="N38" s="21">
        <v>1</v>
      </c>
      <c r="O38" s="21">
        <v>1</v>
      </c>
      <c r="P38" s="21">
        <v>1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 t="str">
        <f t="shared" si="0"/>
        <v>item_11036</v>
      </c>
    </row>
    <row r="39" spans="1:34" x14ac:dyDescent="0.3">
      <c r="A39" s="19" t="s">
        <v>197</v>
      </c>
      <c r="B39" s="19">
        <v>11037</v>
      </c>
      <c r="C39" s="20">
        <v>1</v>
      </c>
      <c r="D39" s="20">
        <v>1</v>
      </c>
      <c r="E39" s="20" t="s">
        <v>300</v>
      </c>
      <c r="F39" s="21" t="s">
        <v>301</v>
      </c>
      <c r="G39" s="21">
        <v>1</v>
      </c>
      <c r="H39" s="21">
        <v>0</v>
      </c>
      <c r="I39" s="21">
        <v>4</v>
      </c>
      <c r="J39" s="21">
        <v>0</v>
      </c>
      <c r="K39" s="21">
        <v>0</v>
      </c>
      <c r="L39" s="21">
        <v>0</v>
      </c>
      <c r="M39" s="21">
        <v>1</v>
      </c>
      <c r="N39" s="21">
        <v>1</v>
      </c>
      <c r="O39" s="21">
        <v>1</v>
      </c>
      <c r="P39" s="21">
        <v>1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 t="str">
        <f t="shared" si="0"/>
        <v>item_11037</v>
      </c>
    </row>
    <row r="40" spans="1:34" x14ac:dyDescent="0.3">
      <c r="A40" s="19" t="s">
        <v>197</v>
      </c>
      <c r="B40" s="19">
        <v>11038</v>
      </c>
      <c r="C40" s="20">
        <v>1</v>
      </c>
      <c r="D40" s="20">
        <v>1</v>
      </c>
      <c r="E40" s="20" t="s">
        <v>300</v>
      </c>
      <c r="F40" s="21" t="s">
        <v>301</v>
      </c>
      <c r="G40" s="21">
        <v>1</v>
      </c>
      <c r="H40" s="21">
        <v>0</v>
      </c>
      <c r="I40" s="21">
        <v>4</v>
      </c>
      <c r="J40" s="21">
        <v>0</v>
      </c>
      <c r="K40" s="21">
        <v>0</v>
      </c>
      <c r="L40" s="21">
        <v>0</v>
      </c>
      <c r="M40" s="21">
        <v>1</v>
      </c>
      <c r="N40" s="21">
        <v>1</v>
      </c>
      <c r="O40" s="21">
        <v>1</v>
      </c>
      <c r="P40" s="21">
        <v>1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 t="str">
        <f t="shared" si="0"/>
        <v>item_11038</v>
      </c>
    </row>
    <row r="41" spans="1:34" x14ac:dyDescent="0.3">
      <c r="A41" s="19" t="s">
        <v>197</v>
      </c>
      <c r="B41" s="19">
        <v>11039</v>
      </c>
      <c r="C41" s="20">
        <v>1</v>
      </c>
      <c r="D41" s="20">
        <v>1</v>
      </c>
      <c r="E41" s="20" t="s">
        <v>300</v>
      </c>
      <c r="F41" s="21" t="s">
        <v>301</v>
      </c>
      <c r="G41" s="21">
        <v>1</v>
      </c>
      <c r="H41" s="21">
        <v>0</v>
      </c>
      <c r="I41" s="21">
        <v>4</v>
      </c>
      <c r="J41" s="21">
        <v>0</v>
      </c>
      <c r="K41" s="21">
        <v>0</v>
      </c>
      <c r="L41" s="21">
        <v>0</v>
      </c>
      <c r="M41" s="21">
        <v>1</v>
      </c>
      <c r="N41" s="21">
        <v>1</v>
      </c>
      <c r="O41" s="21">
        <v>1</v>
      </c>
      <c r="P41" s="21">
        <v>1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 t="str">
        <f t="shared" si="0"/>
        <v>item_11039</v>
      </c>
    </row>
    <row r="42" spans="1:34" x14ac:dyDescent="0.3">
      <c r="A42" s="19" t="s">
        <v>197</v>
      </c>
      <c r="B42" s="19">
        <v>11040</v>
      </c>
      <c r="C42" s="20">
        <v>1</v>
      </c>
      <c r="D42" s="20">
        <v>1</v>
      </c>
      <c r="E42" s="20" t="s">
        <v>300</v>
      </c>
      <c r="F42" s="21" t="s">
        <v>301</v>
      </c>
      <c r="G42" s="21">
        <v>1</v>
      </c>
      <c r="H42" s="21">
        <v>0</v>
      </c>
      <c r="I42" s="21">
        <v>4</v>
      </c>
      <c r="J42" s="21">
        <v>0</v>
      </c>
      <c r="K42" s="21">
        <v>0</v>
      </c>
      <c r="L42" s="21">
        <v>0</v>
      </c>
      <c r="M42" s="21">
        <v>1</v>
      </c>
      <c r="N42" s="21">
        <v>1</v>
      </c>
      <c r="O42" s="21">
        <v>1</v>
      </c>
      <c r="P42" s="21">
        <v>1</v>
      </c>
      <c r="Q42" s="21">
        <v>0</v>
      </c>
      <c r="R42" s="21">
        <v>0</v>
      </c>
      <c r="S42" s="21">
        <v>0</v>
      </c>
      <c r="T42" s="21">
        <v>0</v>
      </c>
      <c r="U42" s="21">
        <v>0</v>
      </c>
      <c r="V42" s="21">
        <v>0</v>
      </c>
      <c r="W42" s="21">
        <v>0</v>
      </c>
      <c r="X42" s="21">
        <v>0</v>
      </c>
      <c r="Y42" s="21">
        <v>0</v>
      </c>
      <c r="Z42" s="21">
        <v>0</v>
      </c>
      <c r="AA42" s="21">
        <v>0</v>
      </c>
      <c r="AB42" s="21">
        <v>0</v>
      </c>
      <c r="AC42" s="21">
        <v>0</v>
      </c>
      <c r="AD42" s="21">
        <v>0</v>
      </c>
      <c r="AE42" s="21">
        <v>0</v>
      </c>
      <c r="AF42" s="21">
        <v>0</v>
      </c>
      <c r="AG42" s="21">
        <v>0</v>
      </c>
      <c r="AH42" s="21" t="str">
        <f t="shared" si="0"/>
        <v>item_11040</v>
      </c>
    </row>
    <row r="43" spans="1:34" ht="12.75" x14ac:dyDescent="0.3">
      <c r="A43" s="32" t="s">
        <v>69</v>
      </c>
      <c r="B43" s="10">
        <v>11041</v>
      </c>
      <c r="C43" s="30" t="s">
        <v>568</v>
      </c>
      <c r="D43" s="30" t="s">
        <v>569</v>
      </c>
      <c r="E43" s="15" t="s">
        <v>563</v>
      </c>
      <c r="F43" s="16" t="s">
        <v>564</v>
      </c>
      <c r="G43" s="4">
        <v>1</v>
      </c>
      <c r="H43" s="4">
        <v>0</v>
      </c>
      <c r="I43" s="4">
        <v>1</v>
      </c>
      <c r="J43" s="4">
        <v>0</v>
      </c>
      <c r="K43" s="4">
        <v>0</v>
      </c>
      <c r="L43" s="4">
        <v>0</v>
      </c>
      <c r="M43" s="4">
        <v>32</v>
      </c>
      <c r="N43" s="4">
        <v>1</v>
      </c>
      <c r="O43" s="4">
        <v>3</v>
      </c>
      <c r="P43" s="4">
        <v>3</v>
      </c>
      <c r="Q43" s="4">
        <v>0</v>
      </c>
      <c r="R43" s="4">
        <v>0</v>
      </c>
      <c r="S43" s="4">
        <v>0</v>
      </c>
      <c r="T43" s="4">
        <v>100</v>
      </c>
      <c r="U43" s="4">
        <v>80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 t="str">
        <f t="shared" si="0"/>
        <v>item_11041</v>
      </c>
    </row>
    <row r="44" spans="1:34" ht="12.75" x14ac:dyDescent="0.3">
      <c r="A44" s="32" t="s">
        <v>69</v>
      </c>
      <c r="B44" s="10">
        <v>11042</v>
      </c>
      <c r="C44" s="30" t="s">
        <v>570</v>
      </c>
      <c r="D44" s="30" t="s">
        <v>571</v>
      </c>
      <c r="E44" s="15" t="s">
        <v>565</v>
      </c>
      <c r="F44" s="16" t="s">
        <v>566</v>
      </c>
      <c r="G44" s="4">
        <v>1</v>
      </c>
      <c r="H44" s="4">
        <v>0</v>
      </c>
      <c r="I44" s="4">
        <v>2</v>
      </c>
      <c r="J44" s="4">
        <v>0</v>
      </c>
      <c r="K44" s="4">
        <v>0</v>
      </c>
      <c r="L44" s="4">
        <v>0</v>
      </c>
      <c r="M44" s="4">
        <v>32</v>
      </c>
      <c r="N44" s="4">
        <v>1</v>
      </c>
      <c r="O44" s="4">
        <v>3</v>
      </c>
      <c r="P44" s="4">
        <v>6</v>
      </c>
      <c r="Q44" s="4">
        <v>0</v>
      </c>
      <c r="R44" s="4">
        <v>0</v>
      </c>
      <c r="S44" s="4">
        <v>0</v>
      </c>
      <c r="T44" s="4">
        <v>100</v>
      </c>
      <c r="U44" s="4">
        <v>80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 t="str">
        <f t="shared" si="0"/>
        <v>item_11042</v>
      </c>
    </row>
    <row r="45" spans="1:34" ht="12.75" x14ac:dyDescent="0.3">
      <c r="A45" s="32" t="s">
        <v>69</v>
      </c>
      <c r="B45" s="10">
        <v>11043</v>
      </c>
      <c r="C45" s="30" t="s">
        <v>572</v>
      </c>
      <c r="D45" s="30" t="s">
        <v>573</v>
      </c>
      <c r="E45" s="15" t="s">
        <v>584</v>
      </c>
      <c r="F45" s="16" t="s">
        <v>583</v>
      </c>
      <c r="G45" s="4">
        <v>1</v>
      </c>
      <c r="H45" s="4">
        <v>0</v>
      </c>
      <c r="I45" s="4">
        <v>2</v>
      </c>
      <c r="J45" s="4">
        <v>0</v>
      </c>
      <c r="K45" s="4">
        <v>0</v>
      </c>
      <c r="L45" s="4">
        <v>0</v>
      </c>
      <c r="M45" s="4">
        <v>8</v>
      </c>
      <c r="N45" s="4">
        <v>1</v>
      </c>
      <c r="O45" s="4">
        <v>4</v>
      </c>
      <c r="P45" s="4">
        <v>5</v>
      </c>
      <c r="Q45" s="4">
        <v>0</v>
      </c>
      <c r="R45" s="4">
        <v>0</v>
      </c>
      <c r="S45" s="4">
        <v>0</v>
      </c>
      <c r="T45" s="4">
        <v>75</v>
      </c>
      <c r="U45" s="4">
        <v>240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 t="str">
        <f t="shared" si="0"/>
        <v>item_11043</v>
      </c>
    </row>
    <row r="46" spans="1:34" ht="12.75" x14ac:dyDescent="0.3">
      <c r="A46" s="32" t="s">
        <v>69</v>
      </c>
      <c r="B46" s="10">
        <v>11044</v>
      </c>
      <c r="C46" s="30" t="s">
        <v>574</v>
      </c>
      <c r="D46" s="30" t="s">
        <v>575</v>
      </c>
      <c r="E46" s="15" t="s">
        <v>582</v>
      </c>
      <c r="F46" s="16" t="s">
        <v>585</v>
      </c>
      <c r="G46" s="4">
        <v>1</v>
      </c>
      <c r="H46" s="4">
        <v>0</v>
      </c>
      <c r="I46" s="4">
        <v>1</v>
      </c>
      <c r="J46" s="4">
        <v>0</v>
      </c>
      <c r="K46" s="4">
        <v>0</v>
      </c>
      <c r="L46" s="4">
        <v>0</v>
      </c>
      <c r="M46" s="4">
        <v>8</v>
      </c>
      <c r="N46" s="4">
        <v>1</v>
      </c>
      <c r="O46" s="4">
        <v>2</v>
      </c>
      <c r="P46" s="4">
        <v>2</v>
      </c>
      <c r="Q46" s="4">
        <v>0</v>
      </c>
      <c r="R46" s="4">
        <v>0</v>
      </c>
      <c r="S46" s="4">
        <v>0</v>
      </c>
      <c r="T46" s="4">
        <v>75</v>
      </c>
      <c r="U46" s="4">
        <v>240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 t="str">
        <f t="shared" si="0"/>
        <v>item_11044</v>
      </c>
    </row>
    <row r="47" spans="1:34" ht="12.75" x14ac:dyDescent="0.3">
      <c r="A47" s="32" t="s">
        <v>69</v>
      </c>
      <c r="B47" s="10">
        <v>11045</v>
      </c>
      <c r="C47" s="30" t="s">
        <v>603</v>
      </c>
      <c r="D47" s="30" t="s">
        <v>604</v>
      </c>
      <c r="E47" s="15" t="s">
        <v>607</v>
      </c>
      <c r="F47" s="16" t="s">
        <v>610</v>
      </c>
      <c r="G47" s="4">
        <v>1</v>
      </c>
      <c r="H47" s="4">
        <v>0</v>
      </c>
      <c r="I47" s="4">
        <v>1</v>
      </c>
      <c r="J47" s="4">
        <v>0</v>
      </c>
      <c r="K47" s="4">
        <v>0</v>
      </c>
      <c r="L47" s="4">
        <v>0</v>
      </c>
      <c r="M47" s="4">
        <v>1</v>
      </c>
      <c r="N47" s="4">
        <v>1</v>
      </c>
      <c r="O47" s="4">
        <v>2</v>
      </c>
      <c r="P47" s="4">
        <v>3</v>
      </c>
      <c r="Q47" s="4">
        <v>0</v>
      </c>
      <c r="R47" s="4">
        <v>0</v>
      </c>
      <c r="S47" s="4">
        <v>0</v>
      </c>
    </row>
    <row r="48" spans="1:34" ht="12.75" x14ac:dyDescent="0.3">
      <c r="A48" s="32" t="s">
        <v>69</v>
      </c>
      <c r="B48" s="10">
        <v>11046</v>
      </c>
      <c r="C48" s="30" t="s">
        <v>605</v>
      </c>
      <c r="D48" s="30" t="s">
        <v>606</v>
      </c>
      <c r="E48" s="15" t="s">
        <v>608</v>
      </c>
      <c r="F48" s="16" t="s">
        <v>609</v>
      </c>
      <c r="G48" s="4">
        <v>1</v>
      </c>
      <c r="H48" s="4">
        <v>0</v>
      </c>
      <c r="I48" s="4">
        <v>2</v>
      </c>
      <c r="J48" s="4">
        <v>0</v>
      </c>
      <c r="K48" s="4">
        <v>0</v>
      </c>
      <c r="L48" s="4">
        <v>0</v>
      </c>
      <c r="M48" s="4">
        <v>1</v>
      </c>
      <c r="N48" s="4">
        <v>1</v>
      </c>
      <c r="O48" s="4">
        <v>4</v>
      </c>
      <c r="P48" s="4">
        <v>5</v>
      </c>
      <c r="Q48" s="4">
        <v>0</v>
      </c>
      <c r="R48" s="4">
        <v>0</v>
      </c>
      <c r="S48" s="4">
        <v>0</v>
      </c>
    </row>
    <row r="49" spans="1:34" ht="12.75" x14ac:dyDescent="0.3">
      <c r="A49" s="12" t="s">
        <v>228</v>
      </c>
      <c r="B49" s="10">
        <v>12001</v>
      </c>
      <c r="C49" s="30" t="s">
        <v>474</v>
      </c>
      <c r="D49" s="30" t="s">
        <v>567</v>
      </c>
      <c r="E49" s="15" t="s">
        <v>229</v>
      </c>
      <c r="F49" s="16" t="s">
        <v>230</v>
      </c>
      <c r="G49" s="4">
        <v>1</v>
      </c>
      <c r="H49" s="4">
        <v>0</v>
      </c>
      <c r="I49" s="4">
        <v>1</v>
      </c>
      <c r="J49" s="4">
        <v>0</v>
      </c>
      <c r="K49" s="4">
        <v>0</v>
      </c>
      <c r="L49" s="4">
        <v>0</v>
      </c>
      <c r="M49" s="4">
        <v>512</v>
      </c>
      <c r="N49" s="4">
        <v>0</v>
      </c>
      <c r="O49" s="4">
        <v>0</v>
      </c>
      <c r="P49" s="4">
        <v>0</v>
      </c>
      <c r="Q49" s="4">
        <v>1</v>
      </c>
      <c r="R49" s="4">
        <v>1</v>
      </c>
      <c r="S49" s="4">
        <v>1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 t="str">
        <f t="shared" si="0"/>
        <v>item_12001</v>
      </c>
    </row>
    <row r="50" spans="1:34" ht="12.75" x14ac:dyDescent="0.3">
      <c r="A50" s="12" t="s">
        <v>228</v>
      </c>
      <c r="B50" s="10">
        <v>12002</v>
      </c>
      <c r="C50" s="30" t="s">
        <v>475</v>
      </c>
      <c r="D50" s="30" t="s">
        <v>533</v>
      </c>
      <c r="E50" s="15" t="s">
        <v>231</v>
      </c>
      <c r="F50" s="16" t="s">
        <v>232</v>
      </c>
      <c r="G50" s="4">
        <v>1</v>
      </c>
      <c r="H50" s="4">
        <v>0</v>
      </c>
      <c r="I50" s="4">
        <v>2</v>
      </c>
      <c r="J50" s="4">
        <v>0</v>
      </c>
      <c r="K50" s="4">
        <v>0</v>
      </c>
      <c r="L50" s="4">
        <v>0</v>
      </c>
      <c r="M50" s="4">
        <v>512</v>
      </c>
      <c r="N50" s="4">
        <v>0</v>
      </c>
      <c r="O50" s="4">
        <v>0</v>
      </c>
      <c r="P50" s="4">
        <v>0</v>
      </c>
      <c r="Q50" s="4">
        <v>3</v>
      </c>
      <c r="R50" s="4">
        <v>2</v>
      </c>
      <c r="S50" s="4">
        <v>2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 t="str">
        <f t="shared" si="0"/>
        <v>item_12002</v>
      </c>
    </row>
    <row r="51" spans="1:34" ht="12.75" x14ac:dyDescent="0.3">
      <c r="A51" s="12" t="s">
        <v>228</v>
      </c>
      <c r="B51" s="10">
        <v>12003</v>
      </c>
      <c r="C51" s="30" t="s">
        <v>476</v>
      </c>
      <c r="D51" s="30" t="s">
        <v>534</v>
      </c>
      <c r="E51" s="15" t="s">
        <v>233</v>
      </c>
      <c r="F51" s="16" t="s">
        <v>234</v>
      </c>
      <c r="G51" s="4">
        <v>1</v>
      </c>
      <c r="H51" s="4">
        <v>0</v>
      </c>
      <c r="I51" s="4">
        <v>3</v>
      </c>
      <c r="J51" s="4">
        <v>0</v>
      </c>
      <c r="K51" s="4">
        <v>0</v>
      </c>
      <c r="L51" s="4">
        <v>0</v>
      </c>
      <c r="M51" s="4">
        <v>512</v>
      </c>
      <c r="N51" s="4">
        <v>0</v>
      </c>
      <c r="O51" s="4">
        <v>0</v>
      </c>
      <c r="P51" s="4">
        <v>0</v>
      </c>
      <c r="Q51" s="4">
        <v>5</v>
      </c>
      <c r="R51" s="4">
        <v>3</v>
      </c>
      <c r="S51" s="4">
        <v>3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 t="str">
        <f t="shared" si="0"/>
        <v>item_12003</v>
      </c>
    </row>
    <row r="52" spans="1:34" ht="12.75" x14ac:dyDescent="0.3">
      <c r="A52" s="12" t="s">
        <v>228</v>
      </c>
      <c r="B52" s="10">
        <v>12004</v>
      </c>
      <c r="C52" s="30" t="s">
        <v>477</v>
      </c>
      <c r="D52" s="30" t="s">
        <v>535</v>
      </c>
      <c r="E52" s="15" t="s">
        <v>235</v>
      </c>
      <c r="F52" s="16" t="s">
        <v>236</v>
      </c>
      <c r="G52" s="4">
        <v>1</v>
      </c>
      <c r="H52" s="4">
        <v>0</v>
      </c>
      <c r="I52" s="4">
        <v>1</v>
      </c>
      <c r="J52" s="4">
        <v>0</v>
      </c>
      <c r="K52" s="4">
        <v>0</v>
      </c>
      <c r="L52" s="4">
        <v>0</v>
      </c>
      <c r="M52" s="4">
        <v>1024</v>
      </c>
      <c r="N52" s="4">
        <v>0</v>
      </c>
      <c r="O52" s="4">
        <v>0</v>
      </c>
      <c r="P52" s="4">
        <v>0</v>
      </c>
      <c r="Q52" s="4">
        <v>1</v>
      </c>
      <c r="R52" s="4">
        <v>1</v>
      </c>
      <c r="S52" s="4">
        <v>1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 t="str">
        <f t="shared" si="0"/>
        <v>item_12004</v>
      </c>
    </row>
    <row r="53" spans="1:34" ht="12.75" x14ac:dyDescent="0.3">
      <c r="A53" s="12" t="s">
        <v>228</v>
      </c>
      <c r="B53" s="10">
        <v>12005</v>
      </c>
      <c r="C53" s="30" t="s">
        <v>478</v>
      </c>
      <c r="D53" s="30" t="s">
        <v>536</v>
      </c>
      <c r="E53" s="15" t="s">
        <v>237</v>
      </c>
      <c r="F53" s="16" t="s">
        <v>232</v>
      </c>
      <c r="G53" s="4">
        <v>1</v>
      </c>
      <c r="H53" s="4">
        <v>0</v>
      </c>
      <c r="I53" s="4">
        <v>2</v>
      </c>
      <c r="J53" s="4">
        <v>0</v>
      </c>
      <c r="K53" s="4">
        <v>0</v>
      </c>
      <c r="L53" s="4">
        <v>0</v>
      </c>
      <c r="M53" s="4">
        <v>1024</v>
      </c>
      <c r="N53" s="4">
        <v>0</v>
      </c>
      <c r="O53" s="4">
        <v>0</v>
      </c>
      <c r="P53" s="4">
        <v>0</v>
      </c>
      <c r="Q53" s="4">
        <v>2</v>
      </c>
      <c r="R53" s="4">
        <v>3</v>
      </c>
      <c r="S53" s="4">
        <v>3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 t="str">
        <f t="shared" si="0"/>
        <v>item_12005</v>
      </c>
    </row>
    <row r="54" spans="1:34" ht="12.75" x14ac:dyDescent="0.3">
      <c r="A54" s="12" t="s">
        <v>228</v>
      </c>
      <c r="B54" s="10">
        <v>12006</v>
      </c>
      <c r="C54" s="30" t="s">
        <v>479</v>
      </c>
      <c r="D54" s="30" t="s">
        <v>537</v>
      </c>
      <c r="E54" s="15" t="s">
        <v>238</v>
      </c>
      <c r="F54" s="16" t="s">
        <v>234</v>
      </c>
      <c r="G54" s="4">
        <v>1</v>
      </c>
      <c r="H54" s="4">
        <v>0</v>
      </c>
      <c r="I54" s="4">
        <v>3</v>
      </c>
      <c r="J54" s="4">
        <v>0</v>
      </c>
      <c r="K54" s="4">
        <v>0</v>
      </c>
      <c r="L54" s="4">
        <v>0</v>
      </c>
      <c r="M54" s="4">
        <v>1024</v>
      </c>
      <c r="N54" s="4">
        <v>0</v>
      </c>
      <c r="O54" s="4">
        <v>0</v>
      </c>
      <c r="P54" s="4">
        <v>0</v>
      </c>
      <c r="Q54" s="4">
        <v>3</v>
      </c>
      <c r="R54" s="4">
        <v>5</v>
      </c>
      <c r="S54" s="4">
        <v>5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 t="str">
        <f t="shared" si="0"/>
        <v>item_12006</v>
      </c>
    </row>
    <row r="55" spans="1:34" ht="12.75" x14ac:dyDescent="0.3">
      <c r="A55" s="12" t="s">
        <v>228</v>
      </c>
      <c r="B55" s="10">
        <v>12007</v>
      </c>
      <c r="C55" s="30" t="s">
        <v>480</v>
      </c>
      <c r="D55" s="30" t="s">
        <v>538</v>
      </c>
      <c r="E55" s="15" t="s">
        <v>239</v>
      </c>
      <c r="F55" s="16">
        <v>0</v>
      </c>
      <c r="G55" s="4">
        <v>1</v>
      </c>
      <c r="H55" s="4">
        <v>0</v>
      </c>
      <c r="I55" s="4">
        <v>1</v>
      </c>
      <c r="J55" s="4">
        <v>0</v>
      </c>
      <c r="K55" s="4">
        <v>0</v>
      </c>
      <c r="L55" s="4">
        <v>0</v>
      </c>
      <c r="M55" s="4">
        <v>2048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104</v>
      </c>
      <c r="W55" s="4">
        <v>2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 t="str">
        <f t="shared" si="0"/>
        <v>item_12007</v>
      </c>
    </row>
    <row r="56" spans="1:34" ht="12.75" x14ac:dyDescent="0.3">
      <c r="A56" s="12" t="s">
        <v>228</v>
      </c>
      <c r="B56" s="10">
        <v>12008</v>
      </c>
      <c r="C56" s="30" t="s">
        <v>481</v>
      </c>
      <c r="D56" s="30" t="s">
        <v>539</v>
      </c>
      <c r="E56" s="15" t="s">
        <v>240</v>
      </c>
      <c r="F56" s="16">
        <v>0</v>
      </c>
      <c r="G56" s="4">
        <v>1</v>
      </c>
      <c r="H56" s="4">
        <v>0</v>
      </c>
      <c r="I56" s="4">
        <v>1</v>
      </c>
      <c r="J56" s="4">
        <v>0</v>
      </c>
      <c r="K56" s="4">
        <v>0</v>
      </c>
      <c r="L56" s="4">
        <v>0</v>
      </c>
      <c r="M56" s="4">
        <v>2048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104</v>
      </c>
      <c r="W56" s="4">
        <v>2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 t="str">
        <f t="shared" si="0"/>
        <v>item_12008</v>
      </c>
    </row>
    <row r="57" spans="1:34" ht="12.75" x14ac:dyDescent="0.3">
      <c r="A57" s="12" t="s">
        <v>228</v>
      </c>
      <c r="B57" s="10">
        <v>12009</v>
      </c>
      <c r="C57" s="30" t="s">
        <v>482</v>
      </c>
      <c r="D57" s="30" t="s">
        <v>540</v>
      </c>
      <c r="E57" s="15" t="s">
        <v>241</v>
      </c>
      <c r="F57" s="16">
        <v>0</v>
      </c>
      <c r="G57" s="4">
        <v>1</v>
      </c>
      <c r="H57" s="4">
        <v>0</v>
      </c>
      <c r="I57" s="4">
        <v>1</v>
      </c>
      <c r="J57" s="4">
        <v>0</v>
      </c>
      <c r="K57" s="4">
        <v>0</v>
      </c>
      <c r="L57" s="4">
        <v>0</v>
      </c>
      <c r="M57" s="4">
        <v>2048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101</v>
      </c>
      <c r="W57" s="4">
        <v>2</v>
      </c>
      <c r="X57" s="4">
        <v>0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 t="str">
        <f t="shared" si="0"/>
        <v>item_12009</v>
      </c>
    </row>
    <row r="58" spans="1:34" ht="12.75" x14ac:dyDescent="0.3">
      <c r="A58" s="12" t="s">
        <v>228</v>
      </c>
      <c r="B58" s="10">
        <v>12010</v>
      </c>
      <c r="C58" s="30" t="s">
        <v>483</v>
      </c>
      <c r="D58" s="30" t="s">
        <v>541</v>
      </c>
      <c r="E58" s="15" t="s">
        <v>242</v>
      </c>
      <c r="F58" s="16">
        <v>0</v>
      </c>
      <c r="G58" s="4">
        <v>1</v>
      </c>
      <c r="H58" s="4">
        <v>0</v>
      </c>
      <c r="I58" s="4">
        <v>1</v>
      </c>
      <c r="J58" s="4">
        <v>0</v>
      </c>
      <c r="K58" s="4">
        <v>0</v>
      </c>
      <c r="L58" s="4">
        <v>0</v>
      </c>
      <c r="M58" s="4">
        <v>2048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101</v>
      </c>
      <c r="W58" s="4">
        <v>2</v>
      </c>
      <c r="X58" s="4">
        <v>0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 t="str">
        <f t="shared" si="0"/>
        <v>item_12010</v>
      </c>
    </row>
    <row r="59" spans="1:34" ht="12.75" x14ac:dyDescent="0.3">
      <c r="A59" s="12" t="s">
        <v>228</v>
      </c>
      <c r="B59" s="10">
        <v>12011</v>
      </c>
      <c r="C59" s="30" t="s">
        <v>484</v>
      </c>
      <c r="D59" s="30" t="s">
        <v>542</v>
      </c>
      <c r="E59" s="15" t="s">
        <v>314</v>
      </c>
      <c r="F59" s="16">
        <v>0</v>
      </c>
      <c r="G59" s="4">
        <v>1</v>
      </c>
      <c r="H59" s="4">
        <v>0</v>
      </c>
      <c r="I59" s="4">
        <v>5</v>
      </c>
      <c r="J59" s="4">
        <v>100</v>
      </c>
      <c r="K59" s="4">
        <v>0</v>
      </c>
      <c r="L59" s="4">
        <v>0</v>
      </c>
      <c r="M59" s="4">
        <v>2048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131</v>
      </c>
      <c r="W59" s="4">
        <v>90001</v>
      </c>
      <c r="X59" s="4">
        <v>1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 t="str">
        <f t="shared" si="0"/>
        <v>item_12011</v>
      </c>
    </row>
    <row r="60" spans="1:34" ht="12.75" x14ac:dyDescent="0.3">
      <c r="A60" s="12" t="s">
        <v>228</v>
      </c>
      <c r="B60" s="10">
        <v>12012</v>
      </c>
      <c r="C60" s="30" t="s">
        <v>485</v>
      </c>
      <c r="D60" s="30" t="s">
        <v>543</v>
      </c>
      <c r="E60" s="15" t="s">
        <v>388</v>
      </c>
      <c r="F60" s="16">
        <v>0</v>
      </c>
      <c r="G60" s="4">
        <v>1</v>
      </c>
      <c r="H60" s="4">
        <v>0</v>
      </c>
      <c r="I60" s="4">
        <v>4</v>
      </c>
      <c r="J60" s="4">
        <v>0</v>
      </c>
      <c r="K60" s="4">
        <v>0</v>
      </c>
      <c r="L60" s="4">
        <v>0</v>
      </c>
      <c r="M60" s="4">
        <v>2048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105</v>
      </c>
      <c r="W60" s="4">
        <v>5</v>
      </c>
      <c r="X60" s="4">
        <v>0</v>
      </c>
      <c r="Y60" s="4">
        <v>123</v>
      </c>
      <c r="Z60" s="4">
        <v>16</v>
      </c>
      <c r="AA60" s="4">
        <v>100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 t="str">
        <f t="shared" si="0"/>
        <v>item_12012</v>
      </c>
    </row>
    <row r="61" spans="1:34" ht="12.75" x14ac:dyDescent="0.3">
      <c r="A61" s="12" t="s">
        <v>228</v>
      </c>
      <c r="B61" s="10">
        <v>12013</v>
      </c>
      <c r="C61" s="30" t="s">
        <v>486</v>
      </c>
      <c r="D61" s="30" t="s">
        <v>544</v>
      </c>
      <c r="E61" s="15" t="s">
        <v>389</v>
      </c>
      <c r="F61" s="16">
        <v>0</v>
      </c>
      <c r="G61" s="4">
        <v>1</v>
      </c>
      <c r="H61" s="4">
        <v>0</v>
      </c>
      <c r="I61" s="4">
        <v>4</v>
      </c>
      <c r="J61" s="4">
        <v>0</v>
      </c>
      <c r="K61" s="4">
        <v>0</v>
      </c>
      <c r="L61" s="4">
        <v>0</v>
      </c>
      <c r="M61" s="4">
        <v>2048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109</v>
      </c>
      <c r="W61" s="4">
        <v>0</v>
      </c>
      <c r="X61" s="4">
        <v>150</v>
      </c>
      <c r="Y61" s="4">
        <v>112</v>
      </c>
      <c r="Z61" s="4">
        <v>0</v>
      </c>
      <c r="AA61" s="4">
        <v>150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 t="str">
        <f t="shared" ref="AH61:AH63" si="1">"item_"&amp;B61</f>
        <v>item_12013</v>
      </c>
    </row>
    <row r="62" spans="1:34" ht="12.75" x14ac:dyDescent="0.3">
      <c r="A62" s="12" t="s">
        <v>228</v>
      </c>
      <c r="B62" s="10">
        <v>12014</v>
      </c>
      <c r="C62" s="30" t="s">
        <v>487</v>
      </c>
      <c r="D62" s="30" t="s">
        <v>545</v>
      </c>
      <c r="E62" s="15" t="s">
        <v>390</v>
      </c>
      <c r="F62" s="16">
        <v>0</v>
      </c>
      <c r="G62" s="4">
        <v>1</v>
      </c>
      <c r="H62" s="4">
        <v>0</v>
      </c>
      <c r="I62" s="4">
        <v>4</v>
      </c>
      <c r="J62" s="4">
        <v>0</v>
      </c>
      <c r="K62" s="4">
        <v>0</v>
      </c>
      <c r="L62" s="4">
        <v>0</v>
      </c>
      <c r="M62" s="4">
        <v>2048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112</v>
      </c>
      <c r="W62" s="4">
        <v>0</v>
      </c>
      <c r="X62" s="4">
        <v>300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 t="str">
        <f t="shared" si="1"/>
        <v>item_12014</v>
      </c>
    </row>
    <row r="63" spans="1:34" ht="12.75" x14ac:dyDescent="0.3">
      <c r="A63" s="12" t="s">
        <v>228</v>
      </c>
      <c r="B63" s="10">
        <v>12015</v>
      </c>
      <c r="C63" s="30" t="s">
        <v>488</v>
      </c>
      <c r="D63" s="30" t="s">
        <v>546</v>
      </c>
      <c r="E63" s="15" t="s">
        <v>391</v>
      </c>
      <c r="F63" s="16">
        <v>0</v>
      </c>
      <c r="G63" s="4">
        <v>1</v>
      </c>
      <c r="H63" s="4">
        <v>0</v>
      </c>
      <c r="I63" s="4">
        <v>3</v>
      </c>
      <c r="J63" s="4">
        <v>0</v>
      </c>
      <c r="K63" s="4">
        <v>0</v>
      </c>
      <c r="L63" s="4">
        <v>0</v>
      </c>
      <c r="M63" s="4">
        <v>2048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107</v>
      </c>
      <c r="W63" s="4">
        <v>0</v>
      </c>
      <c r="X63" s="4">
        <v>30</v>
      </c>
      <c r="Y63" s="4">
        <v>122</v>
      </c>
      <c r="Z63" s="4">
        <v>15</v>
      </c>
      <c r="AA63" s="4">
        <v>50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 t="str">
        <f t="shared" si="1"/>
        <v>item_12015</v>
      </c>
    </row>
    <row r="64" spans="1:34" ht="12.75" x14ac:dyDescent="0.3">
      <c r="A64" s="12" t="s">
        <v>228</v>
      </c>
      <c r="B64" s="10">
        <v>12016</v>
      </c>
      <c r="C64" s="30" t="s">
        <v>489</v>
      </c>
      <c r="D64" s="30" t="s">
        <v>547</v>
      </c>
      <c r="E64" s="15" t="s">
        <v>392</v>
      </c>
      <c r="F64" s="16">
        <v>0</v>
      </c>
      <c r="G64" s="4">
        <v>1</v>
      </c>
      <c r="H64" s="4">
        <v>0</v>
      </c>
      <c r="I64" s="4">
        <v>3</v>
      </c>
      <c r="J64" s="4">
        <v>0</v>
      </c>
      <c r="K64" s="4">
        <v>0</v>
      </c>
      <c r="L64" s="4">
        <v>0</v>
      </c>
      <c r="M64" s="4">
        <v>2048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122</v>
      </c>
      <c r="W64" s="4">
        <v>0</v>
      </c>
      <c r="X64" s="4">
        <v>5</v>
      </c>
      <c r="Y64" s="4">
        <v>108</v>
      </c>
      <c r="Z64" s="4">
        <v>0</v>
      </c>
      <c r="AA64" s="4">
        <v>15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 t="str">
        <f t="shared" ref="AH64:AH65" si="2">"item_"&amp;B64</f>
        <v>item_12016</v>
      </c>
    </row>
    <row r="65" spans="1:34" ht="12.75" x14ac:dyDescent="0.3">
      <c r="A65" s="12" t="s">
        <v>228</v>
      </c>
      <c r="B65" s="10">
        <v>12017</v>
      </c>
      <c r="C65" s="30" t="s">
        <v>490</v>
      </c>
      <c r="D65" s="30" t="s">
        <v>548</v>
      </c>
      <c r="E65" s="15" t="s">
        <v>393</v>
      </c>
      <c r="F65" s="16">
        <v>0</v>
      </c>
      <c r="G65" s="4">
        <v>1</v>
      </c>
      <c r="H65" s="4">
        <v>0</v>
      </c>
      <c r="I65" s="4">
        <v>4</v>
      </c>
      <c r="J65" s="4">
        <v>0</v>
      </c>
      <c r="K65" s="4">
        <v>0</v>
      </c>
      <c r="L65" s="4">
        <v>0</v>
      </c>
      <c r="M65" s="4">
        <v>2048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122</v>
      </c>
      <c r="W65" s="4">
        <v>0</v>
      </c>
      <c r="X65" s="4">
        <v>5</v>
      </c>
      <c r="Y65" s="4">
        <v>105</v>
      </c>
      <c r="Z65" s="4">
        <v>3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 t="str">
        <f t="shared" si="2"/>
        <v>item_12017</v>
      </c>
    </row>
    <row r="66" spans="1:34" ht="12.75" x14ac:dyDescent="0.3">
      <c r="A66" s="12" t="s">
        <v>228</v>
      </c>
      <c r="B66" s="10">
        <v>12018</v>
      </c>
      <c r="C66" s="30" t="s">
        <v>491</v>
      </c>
      <c r="D66" s="30" t="s">
        <v>549</v>
      </c>
      <c r="E66" s="15" t="s">
        <v>394</v>
      </c>
      <c r="F66" s="16">
        <v>0</v>
      </c>
      <c r="G66" s="4">
        <v>1</v>
      </c>
      <c r="H66" s="4">
        <v>0</v>
      </c>
      <c r="I66" s="4">
        <v>4</v>
      </c>
      <c r="J66" s="4">
        <v>0</v>
      </c>
      <c r="K66" s="4">
        <v>0</v>
      </c>
      <c r="L66" s="4">
        <v>0</v>
      </c>
      <c r="M66" s="4">
        <v>2048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133</v>
      </c>
      <c r="W66" s="4">
        <v>1</v>
      </c>
      <c r="X66" s="4">
        <v>0</v>
      </c>
      <c r="Y66" s="4">
        <v>106</v>
      </c>
      <c r="Z66" s="4">
        <v>0</v>
      </c>
      <c r="AA66" s="4">
        <v>30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 t="str">
        <f t="shared" ref="AH66" si="3">"item_"&amp;B66</f>
        <v>item_12018</v>
      </c>
    </row>
    <row r="67" spans="1:34" ht="12.75" x14ac:dyDescent="0.3">
      <c r="A67" s="12" t="s">
        <v>228</v>
      </c>
      <c r="B67" s="10">
        <v>12019</v>
      </c>
      <c r="C67" s="30" t="s">
        <v>492</v>
      </c>
      <c r="D67" s="30" t="s">
        <v>550</v>
      </c>
      <c r="E67" s="15" t="s">
        <v>395</v>
      </c>
      <c r="F67" s="16">
        <v>0</v>
      </c>
      <c r="G67" s="4">
        <v>1</v>
      </c>
      <c r="H67" s="4">
        <v>0</v>
      </c>
      <c r="I67" s="4">
        <v>4</v>
      </c>
      <c r="J67" s="4">
        <v>0</v>
      </c>
      <c r="K67" s="4">
        <v>0</v>
      </c>
      <c r="L67" s="4">
        <v>0</v>
      </c>
      <c r="M67" s="4">
        <v>2048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123</v>
      </c>
      <c r="W67" s="4">
        <v>15</v>
      </c>
      <c r="X67" s="4">
        <v>30</v>
      </c>
      <c r="Y67" s="4">
        <v>123</v>
      </c>
      <c r="Z67" s="4">
        <v>16</v>
      </c>
      <c r="AA67" s="4">
        <v>30</v>
      </c>
      <c r="AB67" s="4">
        <v>123</v>
      </c>
      <c r="AC67" s="4">
        <v>3</v>
      </c>
      <c r="AD67" s="4">
        <v>30</v>
      </c>
      <c r="AE67" s="4">
        <v>0</v>
      </c>
      <c r="AF67" s="4">
        <v>0</v>
      </c>
      <c r="AG67" s="4">
        <v>0</v>
      </c>
      <c r="AH67" s="4" t="str">
        <f t="shared" ref="AH67:AH80" si="4">"item_"&amp;B67</f>
        <v>item_12019</v>
      </c>
    </row>
    <row r="68" spans="1:34" ht="12.75" x14ac:dyDescent="0.3">
      <c r="A68" s="12" t="s">
        <v>228</v>
      </c>
      <c r="B68" s="10">
        <v>12020</v>
      </c>
      <c r="C68" s="30" t="s">
        <v>493</v>
      </c>
      <c r="D68" s="30" t="s">
        <v>551</v>
      </c>
      <c r="E68" s="15" t="s">
        <v>396</v>
      </c>
      <c r="F68" s="16">
        <v>0</v>
      </c>
      <c r="G68" s="4">
        <v>1</v>
      </c>
      <c r="H68" s="4">
        <v>0</v>
      </c>
      <c r="I68" s="4">
        <v>5</v>
      </c>
      <c r="J68" s="4">
        <v>0</v>
      </c>
      <c r="K68" s="4">
        <v>0</v>
      </c>
      <c r="L68" s="4">
        <v>0</v>
      </c>
      <c r="M68" s="4">
        <v>2048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13</v>
      </c>
      <c r="W68" s="4">
        <v>0</v>
      </c>
      <c r="X68" s="4">
        <v>95</v>
      </c>
      <c r="Y68" s="4">
        <v>113</v>
      </c>
      <c r="Z68" s="4">
        <v>0</v>
      </c>
      <c r="AA68" s="4">
        <v>500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 t="str">
        <f t="shared" si="4"/>
        <v>item_12020</v>
      </c>
    </row>
    <row r="69" spans="1:34" ht="12.75" x14ac:dyDescent="0.3">
      <c r="A69" s="32" t="s">
        <v>73</v>
      </c>
      <c r="B69" s="10">
        <v>12021</v>
      </c>
      <c r="C69" s="30" t="s">
        <v>576</v>
      </c>
      <c r="D69" s="30" t="s">
        <v>577</v>
      </c>
      <c r="E69" s="15" t="s">
        <v>561</v>
      </c>
      <c r="F69" s="16" t="s">
        <v>562</v>
      </c>
      <c r="G69" s="4">
        <v>1</v>
      </c>
      <c r="H69" s="4">
        <v>0</v>
      </c>
      <c r="I69" s="4">
        <v>1</v>
      </c>
      <c r="J69" s="4">
        <v>0</v>
      </c>
      <c r="K69" s="4">
        <v>0</v>
      </c>
      <c r="L69" s="4">
        <v>0</v>
      </c>
      <c r="M69" s="4">
        <v>512</v>
      </c>
      <c r="N69" s="4">
        <v>0</v>
      </c>
      <c r="O69" s="4">
        <v>0</v>
      </c>
      <c r="P69" s="4">
        <v>0</v>
      </c>
      <c r="Q69" s="4">
        <v>2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0</v>
      </c>
      <c r="AG69" s="4">
        <v>0</v>
      </c>
      <c r="AH69" s="4" t="str">
        <f t="shared" si="4"/>
        <v>item_12021</v>
      </c>
    </row>
    <row r="70" spans="1:34" ht="12.75" x14ac:dyDescent="0.3">
      <c r="A70" s="32" t="s">
        <v>73</v>
      </c>
      <c r="B70" s="10">
        <v>12022</v>
      </c>
      <c r="C70" s="30" t="s">
        <v>578</v>
      </c>
      <c r="D70" s="30" t="s">
        <v>579</v>
      </c>
      <c r="E70" s="15" t="s">
        <v>586</v>
      </c>
      <c r="F70" s="16" t="s">
        <v>587</v>
      </c>
      <c r="G70" s="4">
        <v>1</v>
      </c>
      <c r="H70" s="4">
        <v>0</v>
      </c>
      <c r="I70" s="4">
        <v>1</v>
      </c>
      <c r="J70" s="4">
        <v>0</v>
      </c>
      <c r="K70" s="4">
        <v>0</v>
      </c>
      <c r="L70" s="4">
        <v>0</v>
      </c>
      <c r="M70" s="4">
        <v>512</v>
      </c>
      <c r="N70" s="4">
        <v>0</v>
      </c>
      <c r="O70" s="4">
        <v>0</v>
      </c>
      <c r="P70" s="4">
        <v>0</v>
      </c>
      <c r="Q70" s="4">
        <v>2</v>
      </c>
      <c r="R70" s="4">
        <v>1</v>
      </c>
      <c r="S70" s="4">
        <v>1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 t="str">
        <f t="shared" ref="AH70" si="5">"item_"&amp;B70</f>
        <v>item_12022</v>
      </c>
    </row>
    <row r="71" spans="1:34" ht="12.75" x14ac:dyDescent="0.3">
      <c r="A71" s="32" t="s">
        <v>73</v>
      </c>
      <c r="B71" s="10">
        <v>12023</v>
      </c>
      <c r="C71" s="30" t="s">
        <v>580</v>
      </c>
      <c r="D71" s="30" t="s">
        <v>581</v>
      </c>
      <c r="E71" s="15" t="s">
        <v>588</v>
      </c>
      <c r="F71" s="16" t="s">
        <v>589</v>
      </c>
      <c r="G71" s="4">
        <v>1</v>
      </c>
      <c r="H71" s="4">
        <v>0</v>
      </c>
      <c r="I71" s="4">
        <v>2</v>
      </c>
      <c r="J71" s="4">
        <v>0</v>
      </c>
      <c r="K71" s="4">
        <v>0</v>
      </c>
      <c r="L71" s="4">
        <v>0</v>
      </c>
      <c r="M71" s="4">
        <v>512</v>
      </c>
      <c r="N71" s="4">
        <v>0</v>
      </c>
      <c r="O71" s="4">
        <v>0</v>
      </c>
      <c r="P71" s="4">
        <v>0</v>
      </c>
      <c r="Q71" s="4">
        <v>10</v>
      </c>
      <c r="R71" s="4">
        <v>4</v>
      </c>
      <c r="S71" s="4">
        <v>4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 t="str">
        <f t="shared" ref="AH71" si="6">"item_"&amp;B71</f>
        <v>item_12023</v>
      </c>
    </row>
    <row r="72" spans="1:34" ht="13.5" x14ac:dyDescent="0.3">
      <c r="A72" s="12" t="s">
        <v>305</v>
      </c>
      <c r="B72" s="10">
        <v>20001</v>
      </c>
      <c r="C72" s="31" t="s">
        <v>494</v>
      </c>
      <c r="D72" s="31" t="s">
        <v>552</v>
      </c>
      <c r="E72" s="15" t="s">
        <v>307</v>
      </c>
      <c r="F72" s="16">
        <v>0</v>
      </c>
      <c r="G72" s="4">
        <v>2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100</v>
      </c>
      <c r="R72" s="4">
        <v>1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 t="str">
        <f t="shared" si="4"/>
        <v>item_20001</v>
      </c>
    </row>
    <row r="73" spans="1:34" ht="13.5" x14ac:dyDescent="0.3">
      <c r="A73" s="12" t="s">
        <v>305</v>
      </c>
      <c r="B73" s="10">
        <v>20002</v>
      </c>
      <c r="C73" s="31" t="s">
        <v>495</v>
      </c>
      <c r="D73" s="31" t="s">
        <v>553</v>
      </c>
      <c r="E73" s="15" t="s">
        <v>439</v>
      </c>
      <c r="F73" s="16">
        <v>0</v>
      </c>
      <c r="G73" s="4">
        <v>2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100</v>
      </c>
      <c r="R73" s="4">
        <v>1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 t="str">
        <f t="shared" si="4"/>
        <v>item_20002</v>
      </c>
    </row>
    <row r="74" spans="1:34" ht="13.5" x14ac:dyDescent="0.3">
      <c r="A74" s="12" t="s">
        <v>305</v>
      </c>
      <c r="B74" s="10">
        <v>20003</v>
      </c>
      <c r="C74" s="31" t="s">
        <v>496</v>
      </c>
      <c r="D74" s="31" t="s">
        <v>554</v>
      </c>
      <c r="E74" s="15" t="s">
        <v>438</v>
      </c>
      <c r="F74" s="16">
        <v>0</v>
      </c>
      <c r="G74" s="4">
        <v>2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300</v>
      </c>
      <c r="R74" s="4">
        <v>1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 t="str">
        <f t="shared" si="4"/>
        <v>item_20003</v>
      </c>
    </row>
    <row r="75" spans="1:34" ht="13.5" x14ac:dyDescent="0.3">
      <c r="A75" s="12" t="s">
        <v>305</v>
      </c>
      <c r="B75" s="10">
        <v>20004</v>
      </c>
      <c r="C75" s="31" t="s">
        <v>497</v>
      </c>
      <c r="D75" s="31" t="s">
        <v>555</v>
      </c>
      <c r="E75" s="15" t="s">
        <v>440</v>
      </c>
      <c r="F75" s="16">
        <v>0</v>
      </c>
      <c r="G75" s="4">
        <v>2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150</v>
      </c>
      <c r="R75" s="4">
        <v>1</v>
      </c>
      <c r="S75" s="4">
        <v>0</v>
      </c>
      <c r="T75" s="4">
        <v>0</v>
      </c>
      <c r="U75" s="4">
        <v>30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 t="str">
        <f t="shared" si="4"/>
        <v>item_20004</v>
      </c>
    </row>
    <row r="76" spans="1:34" ht="13.5" x14ac:dyDescent="0.3">
      <c r="A76" s="12" t="s">
        <v>305</v>
      </c>
      <c r="B76" s="10">
        <v>20005</v>
      </c>
      <c r="C76" s="31" t="s">
        <v>498</v>
      </c>
      <c r="D76" s="31" t="s">
        <v>556</v>
      </c>
      <c r="E76" s="15" t="s">
        <v>441</v>
      </c>
      <c r="F76" s="16">
        <v>0</v>
      </c>
      <c r="G76" s="4">
        <v>2</v>
      </c>
      <c r="H76" s="4">
        <v>0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150</v>
      </c>
      <c r="R76" s="4">
        <v>1</v>
      </c>
      <c r="S76" s="4">
        <v>30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 t="str">
        <f t="shared" si="4"/>
        <v>item_20005</v>
      </c>
    </row>
    <row r="77" spans="1:34" ht="13.5" x14ac:dyDescent="0.3">
      <c r="A77" s="12" t="s">
        <v>305</v>
      </c>
      <c r="B77" s="10">
        <v>20006</v>
      </c>
      <c r="C77" s="31" t="s">
        <v>499</v>
      </c>
      <c r="D77" s="31" t="s">
        <v>557</v>
      </c>
      <c r="E77" s="15" t="s">
        <v>442</v>
      </c>
      <c r="F77" s="16">
        <v>0</v>
      </c>
      <c r="G77" s="4">
        <v>2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100</v>
      </c>
      <c r="R77" s="4">
        <v>1</v>
      </c>
      <c r="S77" s="4">
        <v>0</v>
      </c>
      <c r="T77" s="4">
        <v>10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 t="str">
        <f t="shared" si="4"/>
        <v>item_20006</v>
      </c>
    </row>
    <row r="78" spans="1:34" ht="13.5" x14ac:dyDescent="0.3">
      <c r="A78" s="12" t="s">
        <v>305</v>
      </c>
      <c r="B78" s="10">
        <v>20007</v>
      </c>
      <c r="C78" s="31" t="s">
        <v>500</v>
      </c>
      <c r="D78" s="31" t="s">
        <v>558</v>
      </c>
      <c r="E78" s="15" t="s">
        <v>443</v>
      </c>
      <c r="F78" s="16">
        <v>0</v>
      </c>
      <c r="G78" s="4">
        <v>2</v>
      </c>
      <c r="H78" s="4">
        <v>0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500</v>
      </c>
      <c r="R78" s="4">
        <v>1</v>
      </c>
      <c r="S78" s="4">
        <v>50</v>
      </c>
      <c r="T78" s="4">
        <v>100</v>
      </c>
      <c r="U78" s="4">
        <v>50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 t="str">
        <f t="shared" si="4"/>
        <v>item_20007</v>
      </c>
    </row>
    <row r="79" spans="1:34" ht="13.5" x14ac:dyDescent="0.3">
      <c r="A79" s="12" t="s">
        <v>306</v>
      </c>
      <c r="B79" s="10">
        <v>30001</v>
      </c>
      <c r="C79" s="31" t="s">
        <v>501</v>
      </c>
      <c r="D79" s="31" t="s">
        <v>559</v>
      </c>
      <c r="E79" s="15" t="s">
        <v>304</v>
      </c>
      <c r="F79" s="16">
        <v>0</v>
      </c>
      <c r="G79" s="4">
        <v>3</v>
      </c>
      <c r="H79" s="4">
        <v>0</v>
      </c>
      <c r="I79" s="4">
        <v>1</v>
      </c>
      <c r="J79" s="4">
        <v>1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 t="str">
        <f t="shared" si="4"/>
        <v>item_30001</v>
      </c>
    </row>
    <row r="80" spans="1:34" ht="13.5" x14ac:dyDescent="0.3">
      <c r="A80" s="12" t="s">
        <v>311</v>
      </c>
      <c r="B80" s="10">
        <v>90001</v>
      </c>
      <c r="C80" s="31" t="s">
        <v>502</v>
      </c>
      <c r="D80" s="31" t="s">
        <v>560</v>
      </c>
      <c r="E80" s="15" t="s">
        <v>313</v>
      </c>
      <c r="F80" s="16">
        <v>0</v>
      </c>
      <c r="G80" s="4">
        <v>4</v>
      </c>
      <c r="H80" s="4">
        <v>0</v>
      </c>
      <c r="I80" s="4">
        <v>1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 t="str">
        <f t="shared" si="4"/>
        <v>item_90001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7435-2757-4F5A-871C-80A71B4783BE}">
  <sheetPr codeName="Sheet4"/>
  <dimension ref="B3:I89"/>
  <sheetViews>
    <sheetView tabSelected="1" workbookViewId="0">
      <selection activeCell="G59" sqref="G59"/>
    </sheetView>
  </sheetViews>
  <sheetFormatPr defaultRowHeight="12" x14ac:dyDescent="0.3"/>
  <cols>
    <col min="1" max="1" width="9" style="3"/>
    <col min="2" max="2" width="15.875" style="3" bestFit="1" customWidth="1"/>
    <col min="3" max="3" width="16.5" style="3" bestFit="1" customWidth="1"/>
    <col min="4" max="4" width="6" style="3" bestFit="1" customWidth="1"/>
    <col min="5" max="5" width="9" style="3"/>
    <col min="6" max="6" width="15.875" style="3" bestFit="1" customWidth="1"/>
    <col min="7" max="7" width="28.875" style="3" bestFit="1" customWidth="1"/>
    <col min="8" max="8" width="17.5" style="3" bestFit="1" customWidth="1"/>
    <col min="9" max="9" width="19.125" style="3" bestFit="1" customWidth="1"/>
    <col min="10" max="16384" width="9" style="3"/>
  </cols>
  <sheetData>
    <row r="3" spans="2:9" x14ac:dyDescent="0.3">
      <c r="B3" s="36" t="s">
        <v>404</v>
      </c>
      <c r="C3" s="36"/>
      <c r="D3" s="36"/>
      <c r="F3" s="37" t="s">
        <v>405</v>
      </c>
      <c r="G3" s="37"/>
      <c r="H3" s="37"/>
      <c r="I3" s="37"/>
    </row>
    <row r="4" spans="2:9" x14ac:dyDescent="0.3">
      <c r="B4" s="26" t="s">
        <v>249</v>
      </c>
      <c r="C4" s="26" t="s">
        <v>264</v>
      </c>
      <c r="D4" s="26" t="s">
        <v>265</v>
      </c>
      <c r="F4" s="27" t="s">
        <v>406</v>
      </c>
      <c r="G4" s="27" t="s">
        <v>413</v>
      </c>
      <c r="H4" s="27" t="s">
        <v>414</v>
      </c>
      <c r="I4" s="27" t="s">
        <v>415</v>
      </c>
    </row>
    <row r="5" spans="2:9" x14ac:dyDescent="0.3">
      <c r="B5" s="25" t="s">
        <v>4</v>
      </c>
      <c r="C5" s="25" t="s">
        <v>266</v>
      </c>
      <c r="D5" s="25" t="s">
        <v>267</v>
      </c>
      <c r="F5" s="24" t="s">
        <v>0</v>
      </c>
      <c r="G5" s="24" t="s">
        <v>0</v>
      </c>
      <c r="H5" s="24" t="s">
        <v>0</v>
      </c>
      <c r="I5" s="24" t="s">
        <v>0</v>
      </c>
    </row>
    <row r="6" spans="2:9" x14ac:dyDescent="0.3">
      <c r="B6" s="25" t="s">
        <v>6</v>
      </c>
      <c r="C6" s="25" t="s">
        <v>268</v>
      </c>
      <c r="D6" s="25" t="s">
        <v>269</v>
      </c>
      <c r="F6" s="28" t="s">
        <v>407</v>
      </c>
      <c r="G6" s="28" t="s">
        <v>407</v>
      </c>
      <c r="H6" s="28" t="s">
        <v>407</v>
      </c>
      <c r="I6" s="28" t="s">
        <v>407</v>
      </c>
    </row>
    <row r="7" spans="2:9" x14ac:dyDescent="0.3">
      <c r="B7" s="25" t="s">
        <v>30</v>
      </c>
      <c r="C7" s="25" t="s">
        <v>270</v>
      </c>
      <c r="D7" s="25" t="s">
        <v>269</v>
      </c>
      <c r="F7" s="28" t="s">
        <v>408</v>
      </c>
      <c r="G7" s="28" t="s">
        <v>408</v>
      </c>
      <c r="H7" s="28" t="s">
        <v>408</v>
      </c>
      <c r="I7" s="28" t="s">
        <v>408</v>
      </c>
    </row>
    <row r="8" spans="2:9" x14ac:dyDescent="0.3">
      <c r="B8" s="25" t="s">
        <v>251</v>
      </c>
      <c r="C8" s="25" t="s">
        <v>271</v>
      </c>
      <c r="D8" s="25" t="s">
        <v>272</v>
      </c>
      <c r="F8" s="24" t="s">
        <v>409</v>
      </c>
      <c r="G8" s="24" t="s">
        <v>417</v>
      </c>
      <c r="H8" s="24" t="s">
        <v>418</v>
      </c>
      <c r="I8" s="24" t="s">
        <v>419</v>
      </c>
    </row>
    <row r="9" spans="2:9" x14ac:dyDescent="0.3">
      <c r="B9" s="25" t="s">
        <v>7</v>
      </c>
      <c r="C9" s="25" t="s">
        <v>273</v>
      </c>
      <c r="D9" s="25" t="s">
        <v>274</v>
      </c>
      <c r="F9" s="24">
        <v>0</v>
      </c>
      <c r="G9" s="24">
        <v>0</v>
      </c>
      <c r="H9" s="24">
        <v>0</v>
      </c>
      <c r="I9" s="24">
        <v>0</v>
      </c>
    </row>
    <row r="10" spans="2:9" x14ac:dyDescent="0.3">
      <c r="B10" s="25" t="s">
        <v>16</v>
      </c>
      <c r="C10" s="25" t="s">
        <v>275</v>
      </c>
      <c r="D10" s="25" t="s">
        <v>274</v>
      </c>
      <c r="F10" s="24" t="s">
        <v>16</v>
      </c>
      <c r="G10" s="24">
        <v>0</v>
      </c>
      <c r="H10" s="24" t="s">
        <v>16</v>
      </c>
      <c r="I10" s="24">
        <v>0</v>
      </c>
    </row>
    <row r="11" spans="2:9" x14ac:dyDescent="0.3">
      <c r="B11" s="25" t="s">
        <v>410</v>
      </c>
      <c r="C11" s="25" t="s">
        <v>276</v>
      </c>
      <c r="D11" s="25" t="s">
        <v>267</v>
      </c>
      <c r="F11" s="24" t="s">
        <v>411</v>
      </c>
      <c r="G11" s="24">
        <v>0</v>
      </c>
      <c r="H11" s="24" t="s">
        <v>416</v>
      </c>
      <c r="I11" s="24">
        <v>0</v>
      </c>
    </row>
    <row r="12" spans="2:9" x14ac:dyDescent="0.3">
      <c r="B12" s="25" t="s">
        <v>9</v>
      </c>
      <c r="C12" s="25" t="s">
        <v>34</v>
      </c>
      <c r="D12" s="25" t="s">
        <v>267</v>
      </c>
      <c r="F12" s="24" t="s">
        <v>411</v>
      </c>
      <c r="G12" s="24">
        <v>0</v>
      </c>
      <c r="H12" s="24">
        <v>0</v>
      </c>
      <c r="I12" s="24">
        <v>0</v>
      </c>
    </row>
    <row r="13" spans="2:9" x14ac:dyDescent="0.3">
      <c r="B13" s="25" t="s">
        <v>10</v>
      </c>
      <c r="C13" s="25" t="s">
        <v>35</v>
      </c>
      <c r="D13" s="25" t="s">
        <v>267</v>
      </c>
      <c r="F13" s="24" t="s">
        <v>411</v>
      </c>
      <c r="G13" s="24">
        <v>0</v>
      </c>
      <c r="H13" s="24">
        <v>0</v>
      </c>
      <c r="I13" s="24">
        <v>0</v>
      </c>
    </row>
    <row r="14" spans="2:9" x14ac:dyDescent="0.3">
      <c r="B14" s="25" t="s">
        <v>11</v>
      </c>
      <c r="C14" s="25" t="s">
        <v>277</v>
      </c>
      <c r="D14" s="25" t="s">
        <v>272</v>
      </c>
      <c r="F14" s="24" t="s">
        <v>11</v>
      </c>
      <c r="G14" s="24">
        <v>0</v>
      </c>
      <c r="H14" s="24">
        <v>0</v>
      </c>
      <c r="I14" s="24">
        <v>0</v>
      </c>
    </row>
    <row r="15" spans="2:9" x14ac:dyDescent="0.3">
      <c r="B15" s="25" t="s">
        <v>15</v>
      </c>
      <c r="C15" s="25" t="s">
        <v>278</v>
      </c>
      <c r="D15" s="25" t="s">
        <v>272</v>
      </c>
      <c r="F15" s="24" t="s">
        <v>15</v>
      </c>
      <c r="G15" s="24">
        <v>0</v>
      </c>
      <c r="H15" s="24">
        <v>0</v>
      </c>
      <c r="I15" s="24">
        <v>0</v>
      </c>
    </row>
    <row r="16" spans="2:9" x14ac:dyDescent="0.3">
      <c r="B16" s="25" t="s">
        <v>412</v>
      </c>
      <c r="C16" s="25" t="s">
        <v>279</v>
      </c>
      <c r="D16" s="25" t="s">
        <v>274</v>
      </c>
      <c r="F16" s="24" t="s">
        <v>412</v>
      </c>
      <c r="G16" s="24">
        <v>0</v>
      </c>
      <c r="H16" s="24">
        <v>0</v>
      </c>
      <c r="I16" s="24">
        <v>0</v>
      </c>
    </row>
    <row r="17" spans="2:9" x14ac:dyDescent="0.3">
      <c r="B17" s="25" t="s">
        <v>13</v>
      </c>
      <c r="C17" s="25" t="s">
        <v>280</v>
      </c>
      <c r="D17" s="25" t="s">
        <v>274</v>
      </c>
      <c r="F17" s="24" t="s">
        <v>13</v>
      </c>
      <c r="G17" s="24">
        <v>0</v>
      </c>
      <c r="H17" s="24">
        <v>0</v>
      </c>
      <c r="I17" s="24">
        <v>0</v>
      </c>
    </row>
    <row r="18" spans="2:9" x14ac:dyDescent="0.3">
      <c r="B18" s="25" t="s">
        <v>243</v>
      </c>
      <c r="C18" s="25" t="s">
        <v>281</v>
      </c>
      <c r="D18" s="25" t="s">
        <v>274</v>
      </c>
      <c r="F18" s="24" t="s">
        <v>243</v>
      </c>
      <c r="G18" s="24" t="s">
        <v>420</v>
      </c>
      <c r="H18" s="24">
        <v>0</v>
      </c>
      <c r="I18" s="24">
        <v>0</v>
      </c>
    </row>
    <row r="19" spans="2:9" x14ac:dyDescent="0.3">
      <c r="B19" s="25" t="s">
        <v>244</v>
      </c>
      <c r="C19" s="25" t="s">
        <v>282</v>
      </c>
      <c r="D19" s="25" t="s">
        <v>274</v>
      </c>
      <c r="F19" s="24" t="s">
        <v>244</v>
      </c>
      <c r="G19" s="24" t="s">
        <v>421</v>
      </c>
      <c r="H19" s="24">
        <v>0</v>
      </c>
      <c r="I19" s="24">
        <v>0</v>
      </c>
    </row>
    <row r="20" spans="2:9" x14ac:dyDescent="0.3">
      <c r="B20" s="25" t="s">
        <v>245</v>
      </c>
      <c r="C20" s="25" t="s">
        <v>283</v>
      </c>
      <c r="D20" s="25" t="s">
        <v>274</v>
      </c>
      <c r="F20" s="24" t="s">
        <v>245</v>
      </c>
      <c r="G20" s="24" t="s">
        <v>422</v>
      </c>
      <c r="H20" s="24">
        <v>0</v>
      </c>
      <c r="I20" s="24">
        <v>0</v>
      </c>
    </row>
    <row r="21" spans="2:9" x14ac:dyDescent="0.3">
      <c r="B21" s="25" t="s">
        <v>246</v>
      </c>
      <c r="C21" s="25" t="s">
        <v>284</v>
      </c>
      <c r="D21" s="25" t="s">
        <v>285</v>
      </c>
      <c r="F21" s="24" t="s">
        <v>246</v>
      </c>
      <c r="G21" s="24" t="s">
        <v>423</v>
      </c>
      <c r="H21" s="24">
        <v>0</v>
      </c>
      <c r="I21" s="24">
        <v>0</v>
      </c>
    </row>
    <row r="22" spans="2:9" x14ac:dyDescent="0.3">
      <c r="B22" s="25" t="s">
        <v>247</v>
      </c>
      <c r="C22" s="25" t="s">
        <v>286</v>
      </c>
      <c r="D22" s="25" t="s">
        <v>285</v>
      </c>
      <c r="F22" s="24" t="s">
        <v>247</v>
      </c>
      <c r="G22" s="24" t="s">
        <v>424</v>
      </c>
      <c r="H22" s="24">
        <v>0</v>
      </c>
      <c r="I22" s="24">
        <v>0</v>
      </c>
    </row>
    <row r="23" spans="2:9" x14ac:dyDescent="0.3">
      <c r="B23" s="25" t="s">
        <v>17</v>
      </c>
      <c r="C23" s="25" t="s">
        <v>287</v>
      </c>
      <c r="D23" s="25" t="s">
        <v>272</v>
      </c>
      <c r="F23" s="24" t="s">
        <v>17</v>
      </c>
      <c r="G23" s="29" t="s">
        <v>425</v>
      </c>
      <c r="H23" s="24">
        <v>0</v>
      </c>
      <c r="I23" s="24">
        <v>0</v>
      </c>
    </row>
    <row r="24" spans="2:9" x14ac:dyDescent="0.3">
      <c r="B24" s="25" t="s">
        <v>18</v>
      </c>
      <c r="C24" s="25" t="s">
        <v>288</v>
      </c>
      <c r="D24" s="25" t="s">
        <v>274</v>
      </c>
      <c r="F24" s="24" t="s">
        <v>18</v>
      </c>
      <c r="G24" s="29" t="s">
        <v>426</v>
      </c>
      <c r="H24" s="24">
        <v>0</v>
      </c>
      <c r="I24" s="24">
        <v>0</v>
      </c>
    </row>
    <row r="25" spans="2:9" x14ac:dyDescent="0.3">
      <c r="B25" s="25" t="s">
        <v>19</v>
      </c>
      <c r="C25" s="25" t="s">
        <v>289</v>
      </c>
      <c r="D25" s="25" t="s">
        <v>274</v>
      </c>
      <c r="F25" s="24" t="s">
        <v>19</v>
      </c>
      <c r="G25" s="29" t="s">
        <v>427</v>
      </c>
      <c r="H25" s="24">
        <v>0</v>
      </c>
      <c r="I25" s="24">
        <v>0</v>
      </c>
    </row>
    <row r="26" spans="2:9" x14ac:dyDescent="0.3">
      <c r="B26" s="25" t="s">
        <v>20</v>
      </c>
      <c r="C26" s="25" t="s">
        <v>36</v>
      </c>
      <c r="D26" s="25" t="s">
        <v>272</v>
      </c>
      <c r="F26" s="24" t="s">
        <v>20</v>
      </c>
      <c r="G26" s="29" t="s">
        <v>428</v>
      </c>
      <c r="H26" s="24">
        <v>0</v>
      </c>
      <c r="I26" s="24">
        <v>0</v>
      </c>
    </row>
    <row r="27" spans="2:9" x14ac:dyDescent="0.3">
      <c r="B27" s="25" t="s">
        <v>21</v>
      </c>
      <c r="C27" s="25" t="s">
        <v>288</v>
      </c>
      <c r="D27" s="25" t="s">
        <v>274</v>
      </c>
      <c r="F27" s="24" t="s">
        <v>21</v>
      </c>
      <c r="G27" s="29" t="s">
        <v>429</v>
      </c>
      <c r="H27" s="24">
        <v>0</v>
      </c>
      <c r="I27" s="24">
        <v>0</v>
      </c>
    </row>
    <row r="28" spans="2:9" x14ac:dyDescent="0.3">
      <c r="B28" s="25" t="s">
        <v>22</v>
      </c>
      <c r="C28" s="25" t="s">
        <v>289</v>
      </c>
      <c r="D28" s="25" t="s">
        <v>274</v>
      </c>
      <c r="F28" s="24" t="s">
        <v>22</v>
      </c>
      <c r="G28" s="29" t="s">
        <v>430</v>
      </c>
      <c r="H28" s="24">
        <v>0</v>
      </c>
      <c r="I28" s="24">
        <v>0</v>
      </c>
    </row>
    <row r="29" spans="2:9" x14ac:dyDescent="0.3">
      <c r="B29" s="25" t="s">
        <v>23</v>
      </c>
      <c r="C29" s="25" t="s">
        <v>37</v>
      </c>
      <c r="D29" s="25" t="s">
        <v>272</v>
      </c>
      <c r="F29" s="24" t="s">
        <v>23</v>
      </c>
      <c r="G29" s="29" t="s">
        <v>431</v>
      </c>
      <c r="H29" s="24">
        <v>0</v>
      </c>
      <c r="I29" s="24">
        <v>0</v>
      </c>
    </row>
    <row r="30" spans="2:9" x14ac:dyDescent="0.3">
      <c r="B30" s="25" t="s">
        <v>24</v>
      </c>
      <c r="C30" s="25" t="s">
        <v>288</v>
      </c>
      <c r="D30" s="25" t="s">
        <v>274</v>
      </c>
      <c r="F30" s="24" t="s">
        <v>24</v>
      </c>
      <c r="G30" s="29" t="s">
        <v>432</v>
      </c>
      <c r="H30" s="24">
        <v>0</v>
      </c>
      <c r="I30" s="24">
        <v>0</v>
      </c>
    </row>
    <row r="31" spans="2:9" x14ac:dyDescent="0.3">
      <c r="B31" s="25" t="s">
        <v>25</v>
      </c>
      <c r="C31" s="25" t="s">
        <v>289</v>
      </c>
      <c r="D31" s="25" t="s">
        <v>274</v>
      </c>
      <c r="F31" s="24" t="s">
        <v>25</v>
      </c>
      <c r="G31" s="29" t="s">
        <v>433</v>
      </c>
      <c r="H31" s="24">
        <v>0</v>
      </c>
      <c r="I31" s="24">
        <v>0</v>
      </c>
    </row>
    <row r="32" spans="2:9" x14ac:dyDescent="0.3">
      <c r="B32" s="25" t="s">
        <v>26</v>
      </c>
      <c r="C32" s="25" t="s">
        <v>38</v>
      </c>
      <c r="D32" s="25" t="s">
        <v>272</v>
      </c>
      <c r="F32" s="24" t="s">
        <v>26</v>
      </c>
      <c r="G32" s="29" t="s">
        <v>434</v>
      </c>
      <c r="H32" s="24">
        <v>0</v>
      </c>
      <c r="I32" s="24">
        <v>0</v>
      </c>
    </row>
    <row r="33" spans="2:9" x14ac:dyDescent="0.3">
      <c r="B33" s="25" t="s">
        <v>27</v>
      </c>
      <c r="C33" s="25" t="s">
        <v>288</v>
      </c>
      <c r="D33" s="25" t="s">
        <v>274</v>
      </c>
      <c r="F33" s="24" t="s">
        <v>27</v>
      </c>
      <c r="G33" s="29" t="s">
        <v>435</v>
      </c>
      <c r="H33" s="24">
        <v>0</v>
      </c>
      <c r="I33" s="24">
        <v>0</v>
      </c>
    </row>
    <row r="34" spans="2:9" x14ac:dyDescent="0.3">
      <c r="B34" s="25" t="s">
        <v>28</v>
      </c>
      <c r="C34" s="25" t="s">
        <v>289</v>
      </c>
      <c r="D34" s="25" t="s">
        <v>274</v>
      </c>
      <c r="F34" s="24" t="s">
        <v>28</v>
      </c>
      <c r="G34" s="29" t="s">
        <v>436</v>
      </c>
      <c r="H34" s="24">
        <v>0</v>
      </c>
      <c r="I34" s="24">
        <v>0</v>
      </c>
    </row>
    <row r="35" spans="2:9" x14ac:dyDescent="0.3">
      <c r="B35" s="25" t="s">
        <v>29</v>
      </c>
      <c r="C35" s="25" t="s">
        <v>290</v>
      </c>
      <c r="D35" s="25" t="s">
        <v>291</v>
      </c>
      <c r="F35" s="24" t="s">
        <v>29</v>
      </c>
      <c r="G35" s="24" t="s">
        <v>29</v>
      </c>
      <c r="H35" s="24" t="s">
        <v>29</v>
      </c>
      <c r="I35" s="24" t="s">
        <v>29</v>
      </c>
    </row>
    <row r="36" spans="2:9" x14ac:dyDescent="0.3">
      <c r="G36" s="3" t="s">
        <v>437</v>
      </c>
    </row>
    <row r="38" spans="2:9" x14ac:dyDescent="0.3">
      <c r="F38" s="38" t="s">
        <v>315</v>
      </c>
      <c r="G38" s="40"/>
      <c r="H38" s="40"/>
      <c r="I38" s="39"/>
    </row>
    <row r="39" spans="2:9" x14ac:dyDescent="0.3">
      <c r="B39" s="41" t="s">
        <v>11</v>
      </c>
      <c r="C39" s="41"/>
      <c r="F39" s="38" t="s">
        <v>316</v>
      </c>
      <c r="G39" s="39"/>
      <c r="H39" s="1" t="s">
        <v>317</v>
      </c>
      <c r="I39" s="1" t="s">
        <v>318</v>
      </c>
    </row>
    <row r="40" spans="2:9" x14ac:dyDescent="0.3">
      <c r="B40" s="4">
        <v>1</v>
      </c>
      <c r="C40" s="4" t="s">
        <v>39</v>
      </c>
      <c r="F40" s="4">
        <v>1</v>
      </c>
      <c r="G40" s="4" t="s">
        <v>319</v>
      </c>
      <c r="H40" s="4" t="s">
        <v>274</v>
      </c>
      <c r="I40" s="4">
        <v>0</v>
      </c>
    </row>
    <row r="41" spans="2:9" x14ac:dyDescent="0.3">
      <c r="B41" s="4">
        <v>2</v>
      </c>
      <c r="C41" s="4" t="s">
        <v>40</v>
      </c>
      <c r="F41" s="4">
        <v>2</v>
      </c>
      <c r="G41" s="4" t="s">
        <v>320</v>
      </c>
      <c r="H41" s="4">
        <v>0</v>
      </c>
      <c r="I41" s="4" t="s">
        <v>285</v>
      </c>
    </row>
    <row r="42" spans="2:9" x14ac:dyDescent="0.3">
      <c r="B42" s="4">
        <v>4</v>
      </c>
      <c r="C42" s="4" t="s">
        <v>43</v>
      </c>
      <c r="F42" s="4">
        <v>3</v>
      </c>
      <c r="G42" s="4" t="s">
        <v>321</v>
      </c>
      <c r="H42" s="4" t="s">
        <v>322</v>
      </c>
      <c r="I42" s="4">
        <v>0</v>
      </c>
    </row>
    <row r="43" spans="2:9" x14ac:dyDescent="0.3">
      <c r="B43" s="4">
        <v>8</v>
      </c>
      <c r="C43" s="4" t="s">
        <v>41</v>
      </c>
      <c r="F43" s="4">
        <v>4</v>
      </c>
      <c r="G43" s="4" t="s">
        <v>323</v>
      </c>
      <c r="H43" s="4" t="s">
        <v>324</v>
      </c>
      <c r="I43" s="4" t="s">
        <v>325</v>
      </c>
    </row>
    <row r="44" spans="2:9" x14ac:dyDescent="0.3">
      <c r="B44" s="4">
        <v>16</v>
      </c>
      <c r="C44" s="4" t="s">
        <v>42</v>
      </c>
      <c r="F44" s="4">
        <v>5</v>
      </c>
      <c r="G44" s="4" t="s">
        <v>326</v>
      </c>
      <c r="H44" s="4" t="s">
        <v>4</v>
      </c>
      <c r="I44" s="4"/>
    </row>
    <row r="45" spans="2:9" x14ac:dyDescent="0.3">
      <c r="B45" s="4">
        <v>32</v>
      </c>
      <c r="C45" s="4" t="s">
        <v>44</v>
      </c>
      <c r="F45" s="4">
        <v>6</v>
      </c>
      <c r="G45" s="4" t="s">
        <v>327</v>
      </c>
      <c r="H45" s="4" t="s">
        <v>252</v>
      </c>
      <c r="I45" s="4"/>
    </row>
    <row r="46" spans="2:9" x14ac:dyDescent="0.3">
      <c r="B46" s="4">
        <v>64</v>
      </c>
      <c r="C46" s="4" t="s">
        <v>45</v>
      </c>
      <c r="F46" s="4">
        <v>7</v>
      </c>
      <c r="G46" s="4" t="s">
        <v>328</v>
      </c>
      <c r="H46" s="4" t="s">
        <v>329</v>
      </c>
      <c r="I46" s="4" t="s">
        <v>330</v>
      </c>
    </row>
    <row r="47" spans="2:9" x14ac:dyDescent="0.3">
      <c r="B47" s="4">
        <v>128</v>
      </c>
      <c r="C47" s="4" t="s">
        <v>46</v>
      </c>
      <c r="F47" s="4">
        <v>8</v>
      </c>
      <c r="G47" s="4" t="s">
        <v>331</v>
      </c>
      <c r="H47" s="4" t="s">
        <v>329</v>
      </c>
      <c r="I47" s="4" t="s">
        <v>330</v>
      </c>
    </row>
    <row r="48" spans="2:9" x14ac:dyDescent="0.3">
      <c r="B48" s="4">
        <v>256</v>
      </c>
      <c r="C48" s="4" t="s">
        <v>47</v>
      </c>
      <c r="F48" s="4">
        <v>9</v>
      </c>
      <c r="G48" s="4" t="s">
        <v>332</v>
      </c>
      <c r="H48" s="4" t="s">
        <v>329</v>
      </c>
      <c r="I48" s="4" t="s">
        <v>330</v>
      </c>
    </row>
    <row r="49" spans="2:9" x14ac:dyDescent="0.3">
      <c r="B49" s="4">
        <v>512</v>
      </c>
      <c r="C49" s="4" t="s">
        <v>48</v>
      </c>
      <c r="F49" s="4">
        <v>10</v>
      </c>
      <c r="G49" s="4" t="s">
        <v>333</v>
      </c>
      <c r="H49" s="4" t="s">
        <v>334</v>
      </c>
      <c r="I49" s="4" t="s">
        <v>335</v>
      </c>
    </row>
    <row r="50" spans="2:9" x14ac:dyDescent="0.3">
      <c r="B50" s="4">
        <v>1024</v>
      </c>
      <c r="C50" s="4" t="s">
        <v>49</v>
      </c>
      <c r="F50" s="4">
        <v>11</v>
      </c>
      <c r="G50" s="4" t="s">
        <v>336</v>
      </c>
      <c r="H50" s="4" t="s">
        <v>334</v>
      </c>
      <c r="I50" s="4" t="s">
        <v>337</v>
      </c>
    </row>
    <row r="51" spans="2:9" x14ac:dyDescent="0.3">
      <c r="B51" s="4">
        <v>2048</v>
      </c>
      <c r="C51" s="4" t="s">
        <v>50</v>
      </c>
      <c r="F51" s="4">
        <v>12</v>
      </c>
      <c r="G51" s="4" t="s">
        <v>338</v>
      </c>
      <c r="H51" s="4" t="s">
        <v>339</v>
      </c>
      <c r="I51" s="4" t="s">
        <v>340</v>
      </c>
    </row>
    <row r="52" spans="2:9" x14ac:dyDescent="0.3">
      <c r="B52" s="4">
        <v>511</v>
      </c>
      <c r="C52" s="4" t="s">
        <v>51</v>
      </c>
      <c r="F52" s="4">
        <v>13</v>
      </c>
      <c r="G52" s="4" t="s">
        <v>401</v>
      </c>
      <c r="H52" s="4" t="s">
        <v>402</v>
      </c>
      <c r="I52" s="4" t="s">
        <v>403</v>
      </c>
    </row>
    <row r="53" spans="2:9" x14ac:dyDescent="0.3">
      <c r="B53" s="4">
        <v>3584</v>
      </c>
      <c r="C53" s="4" t="s">
        <v>52</v>
      </c>
      <c r="F53" s="4">
        <v>99</v>
      </c>
      <c r="G53" s="4" t="s">
        <v>341</v>
      </c>
      <c r="H53" s="4" t="s">
        <v>342</v>
      </c>
      <c r="I53" s="4"/>
    </row>
    <row r="54" spans="2:9" x14ac:dyDescent="0.3">
      <c r="B54" s="4">
        <v>4095</v>
      </c>
      <c r="C54" s="4" t="s">
        <v>53</v>
      </c>
      <c r="F54" s="4"/>
      <c r="G54" s="4"/>
      <c r="H54" s="4"/>
      <c r="I54" s="4"/>
    </row>
    <row r="55" spans="2:9" x14ac:dyDescent="0.3">
      <c r="F55" s="4">
        <v>101</v>
      </c>
      <c r="G55" s="4" t="s">
        <v>343</v>
      </c>
      <c r="H55" s="4" t="s">
        <v>344</v>
      </c>
      <c r="I55" s="4" t="s">
        <v>345</v>
      </c>
    </row>
    <row r="56" spans="2:9" x14ac:dyDescent="0.3">
      <c r="F56" s="4">
        <v>102</v>
      </c>
      <c r="G56" s="4" t="s">
        <v>346</v>
      </c>
      <c r="H56" s="4" t="s">
        <v>344</v>
      </c>
      <c r="I56" s="4" t="s">
        <v>345</v>
      </c>
    </row>
    <row r="57" spans="2:9" x14ac:dyDescent="0.3">
      <c r="B57" s="1" t="s">
        <v>79</v>
      </c>
      <c r="C57" s="1" t="s">
        <v>80</v>
      </c>
      <c r="F57" s="4">
        <v>103</v>
      </c>
      <c r="G57" s="4" t="s">
        <v>347</v>
      </c>
      <c r="H57" s="4" t="s">
        <v>344</v>
      </c>
      <c r="I57" s="4" t="s">
        <v>345</v>
      </c>
    </row>
    <row r="58" spans="2:9" x14ac:dyDescent="0.3">
      <c r="B58" s="1" t="s">
        <v>70</v>
      </c>
      <c r="C58" s="1" t="s">
        <v>78</v>
      </c>
      <c r="F58" s="4">
        <v>104</v>
      </c>
      <c r="G58" s="4" t="s">
        <v>348</v>
      </c>
      <c r="H58" s="4" t="s">
        <v>344</v>
      </c>
      <c r="I58" s="4" t="s">
        <v>345</v>
      </c>
    </row>
    <row r="59" spans="2:9" x14ac:dyDescent="0.3">
      <c r="B59" s="4" t="s">
        <v>71</v>
      </c>
      <c r="C59" s="4" t="s">
        <v>72</v>
      </c>
      <c r="F59" s="4">
        <v>105</v>
      </c>
      <c r="G59" s="4" t="s">
        <v>349</v>
      </c>
      <c r="H59" s="4" t="s">
        <v>344</v>
      </c>
      <c r="I59" s="4" t="s">
        <v>345</v>
      </c>
    </row>
    <row r="60" spans="2:9" x14ac:dyDescent="0.3">
      <c r="B60" s="4" t="s">
        <v>69</v>
      </c>
      <c r="C60" s="4" t="s">
        <v>74</v>
      </c>
      <c r="F60" s="4">
        <v>106</v>
      </c>
      <c r="G60" s="4" t="s">
        <v>350</v>
      </c>
      <c r="H60" s="4" t="s">
        <v>344</v>
      </c>
      <c r="I60" s="4" t="s">
        <v>345</v>
      </c>
    </row>
    <row r="61" spans="2:9" x14ac:dyDescent="0.3">
      <c r="B61" s="4" t="s">
        <v>73</v>
      </c>
      <c r="C61" s="4" t="s">
        <v>75</v>
      </c>
      <c r="F61" s="4">
        <v>107</v>
      </c>
      <c r="G61" s="4" t="s">
        <v>351</v>
      </c>
      <c r="H61" s="4" t="s">
        <v>344</v>
      </c>
      <c r="I61" s="4" t="s">
        <v>345</v>
      </c>
    </row>
    <row r="62" spans="2:9" x14ac:dyDescent="0.3">
      <c r="B62" s="4" t="s">
        <v>76</v>
      </c>
      <c r="C62" s="4" t="s">
        <v>77</v>
      </c>
      <c r="F62" s="4">
        <v>108</v>
      </c>
      <c r="G62" s="4" t="s">
        <v>352</v>
      </c>
      <c r="H62" s="4" t="s">
        <v>344</v>
      </c>
      <c r="I62" s="4" t="s">
        <v>345</v>
      </c>
    </row>
    <row r="63" spans="2:9" x14ac:dyDescent="0.3">
      <c r="B63" s="4" t="s">
        <v>302</v>
      </c>
      <c r="C63" s="4" t="s">
        <v>303</v>
      </c>
      <c r="F63" s="4">
        <v>109</v>
      </c>
      <c r="G63" s="4" t="s">
        <v>353</v>
      </c>
      <c r="H63" s="4" t="s">
        <v>344</v>
      </c>
      <c r="I63" s="4" t="s">
        <v>345</v>
      </c>
    </row>
    <row r="64" spans="2:9" x14ac:dyDescent="0.3">
      <c r="B64" s="4" t="s">
        <v>311</v>
      </c>
      <c r="C64" s="4" t="s">
        <v>312</v>
      </c>
      <c r="F64" s="4">
        <v>110</v>
      </c>
      <c r="G64" s="4" t="s">
        <v>354</v>
      </c>
      <c r="H64" s="4" t="s">
        <v>344</v>
      </c>
      <c r="I64" s="4" t="s">
        <v>345</v>
      </c>
    </row>
    <row r="65" spans="6:9" x14ac:dyDescent="0.3">
      <c r="F65" s="4">
        <v>111</v>
      </c>
      <c r="G65" s="4" t="s">
        <v>286</v>
      </c>
      <c r="H65" s="4" t="s">
        <v>344</v>
      </c>
      <c r="I65" s="4" t="s">
        <v>345</v>
      </c>
    </row>
    <row r="66" spans="6:9" x14ac:dyDescent="0.3">
      <c r="F66" s="4">
        <v>112</v>
      </c>
      <c r="G66" s="4" t="s">
        <v>355</v>
      </c>
      <c r="H66" s="4" t="s">
        <v>344</v>
      </c>
      <c r="I66" s="4" t="s">
        <v>345</v>
      </c>
    </row>
    <row r="67" spans="6:9" x14ac:dyDescent="0.3">
      <c r="F67" s="4">
        <v>113</v>
      </c>
      <c r="G67" s="4" t="s">
        <v>356</v>
      </c>
      <c r="H67" s="4" t="s">
        <v>344</v>
      </c>
      <c r="I67" s="4" t="s">
        <v>345</v>
      </c>
    </row>
    <row r="68" spans="6:9" x14ac:dyDescent="0.3">
      <c r="F68" s="4">
        <v>114</v>
      </c>
      <c r="G68" s="4" t="s">
        <v>357</v>
      </c>
      <c r="H68" s="4" t="s">
        <v>344</v>
      </c>
      <c r="I68" s="4" t="s">
        <v>345</v>
      </c>
    </row>
    <row r="69" spans="6:9" x14ac:dyDescent="0.3">
      <c r="F69" s="4">
        <v>115</v>
      </c>
      <c r="G69" s="4" t="s">
        <v>358</v>
      </c>
      <c r="H69" s="4" t="s">
        <v>344</v>
      </c>
      <c r="I69" s="4" t="s">
        <v>345</v>
      </c>
    </row>
    <row r="70" spans="6:9" x14ac:dyDescent="0.3">
      <c r="F70" s="4">
        <v>116</v>
      </c>
      <c r="G70" s="4" t="s">
        <v>359</v>
      </c>
      <c r="H70" s="4" t="s">
        <v>344</v>
      </c>
      <c r="I70" s="4" t="s">
        <v>345</v>
      </c>
    </row>
    <row r="71" spans="6:9" x14ac:dyDescent="0.3">
      <c r="F71" s="4">
        <v>117</v>
      </c>
      <c r="G71" s="4" t="s">
        <v>360</v>
      </c>
      <c r="H71" s="4" t="s">
        <v>344</v>
      </c>
      <c r="I71" s="4" t="s">
        <v>345</v>
      </c>
    </row>
    <row r="72" spans="6:9" x14ac:dyDescent="0.3">
      <c r="F72" s="4">
        <v>118</v>
      </c>
      <c r="G72" s="4" t="s">
        <v>361</v>
      </c>
      <c r="H72" s="4" t="s">
        <v>344</v>
      </c>
      <c r="I72" s="4" t="s">
        <v>345</v>
      </c>
    </row>
    <row r="73" spans="6:9" x14ac:dyDescent="0.3">
      <c r="F73" s="4">
        <v>119</v>
      </c>
      <c r="G73" s="4" t="s">
        <v>362</v>
      </c>
      <c r="H73" s="4" t="s">
        <v>344</v>
      </c>
      <c r="I73" s="4" t="s">
        <v>345</v>
      </c>
    </row>
    <row r="74" spans="6:9" x14ac:dyDescent="0.3">
      <c r="F74" s="4">
        <v>120</v>
      </c>
      <c r="G74" s="4" t="s">
        <v>363</v>
      </c>
      <c r="H74" s="4" t="s">
        <v>344</v>
      </c>
      <c r="I74" s="4" t="s">
        <v>345</v>
      </c>
    </row>
    <row r="75" spans="6:9" x14ac:dyDescent="0.3">
      <c r="F75" s="4">
        <v>121</v>
      </c>
      <c r="G75" s="4" t="s">
        <v>364</v>
      </c>
      <c r="H75" s="4" t="s">
        <v>365</v>
      </c>
      <c r="I75" s="4" t="s">
        <v>366</v>
      </c>
    </row>
    <row r="76" spans="6:9" x14ac:dyDescent="0.3">
      <c r="F76" s="4">
        <v>122</v>
      </c>
      <c r="G76" s="4" t="s">
        <v>367</v>
      </c>
      <c r="H76" s="4" t="s">
        <v>368</v>
      </c>
      <c r="I76" s="4" t="s">
        <v>367</v>
      </c>
    </row>
    <row r="77" spans="6:9" x14ac:dyDescent="0.3">
      <c r="F77" s="4">
        <v>123</v>
      </c>
      <c r="G77" s="4" t="s">
        <v>369</v>
      </c>
      <c r="H77" s="4" t="s">
        <v>368</v>
      </c>
      <c r="I77" s="4" t="s">
        <v>370</v>
      </c>
    </row>
    <row r="78" spans="6:9" x14ac:dyDescent="0.3">
      <c r="F78" s="4">
        <v>124</v>
      </c>
      <c r="G78" s="4" t="s">
        <v>371</v>
      </c>
      <c r="H78" s="4" t="s">
        <v>344</v>
      </c>
      <c r="I78" s="4" t="s">
        <v>345</v>
      </c>
    </row>
    <row r="79" spans="6:9" x14ac:dyDescent="0.3">
      <c r="F79" s="4">
        <v>125</v>
      </c>
      <c r="G79" s="4" t="s">
        <v>372</v>
      </c>
      <c r="H79" s="4" t="s">
        <v>373</v>
      </c>
      <c r="I79" s="4" t="s">
        <v>374</v>
      </c>
    </row>
    <row r="80" spans="6:9" x14ac:dyDescent="0.3">
      <c r="F80" s="4">
        <v>126</v>
      </c>
      <c r="G80" s="4" t="s">
        <v>375</v>
      </c>
      <c r="H80" s="4" t="s">
        <v>376</v>
      </c>
      <c r="I80" s="4" t="s">
        <v>377</v>
      </c>
    </row>
    <row r="81" spans="6:9" x14ac:dyDescent="0.3">
      <c r="F81" s="4">
        <v>127</v>
      </c>
      <c r="G81" s="4" t="s">
        <v>378</v>
      </c>
      <c r="H81" s="4" t="s">
        <v>379</v>
      </c>
      <c r="I81" s="4" t="s">
        <v>380</v>
      </c>
    </row>
    <row r="82" spans="6:9" x14ac:dyDescent="0.3">
      <c r="F82" s="4">
        <v>128</v>
      </c>
      <c r="G82" s="4" t="s">
        <v>381</v>
      </c>
      <c r="H82" s="4" t="s">
        <v>379</v>
      </c>
      <c r="I82" s="4" t="s">
        <v>380</v>
      </c>
    </row>
    <row r="83" spans="6:9" x14ac:dyDescent="0.3">
      <c r="F83" s="4">
        <v>129</v>
      </c>
      <c r="G83" s="4" t="s">
        <v>382</v>
      </c>
      <c r="H83" s="4" t="s">
        <v>368</v>
      </c>
      <c r="I83" s="4" t="s">
        <v>377</v>
      </c>
    </row>
    <row r="84" spans="6:9" x14ac:dyDescent="0.3">
      <c r="F84" s="4">
        <v>130</v>
      </c>
      <c r="G84" s="4" t="s">
        <v>383</v>
      </c>
      <c r="H84" s="4" t="s">
        <v>368</v>
      </c>
      <c r="I84" s="4" t="s">
        <v>377</v>
      </c>
    </row>
    <row r="85" spans="6:9" x14ac:dyDescent="0.3">
      <c r="F85" s="4">
        <v>131</v>
      </c>
      <c r="G85" s="4" t="s">
        <v>384</v>
      </c>
      <c r="H85" s="4" t="s">
        <v>385</v>
      </c>
      <c r="I85" s="4" t="s">
        <v>386</v>
      </c>
    </row>
    <row r="86" spans="6:9" x14ac:dyDescent="0.3">
      <c r="F86" s="4">
        <v>132</v>
      </c>
      <c r="G86" s="4" t="s">
        <v>387</v>
      </c>
      <c r="H86" s="4">
        <v>0</v>
      </c>
      <c r="I86" s="4" t="s">
        <v>386</v>
      </c>
    </row>
    <row r="87" spans="6:9" x14ac:dyDescent="0.3">
      <c r="F87" s="4">
        <v>133</v>
      </c>
      <c r="G87" s="4" t="s">
        <v>397</v>
      </c>
      <c r="H87" s="4" t="s">
        <v>398</v>
      </c>
      <c r="I87" s="4">
        <v>0</v>
      </c>
    </row>
    <row r="88" spans="6:9" x14ac:dyDescent="0.3">
      <c r="F88" s="4">
        <v>134</v>
      </c>
      <c r="G88" s="4" t="s">
        <v>399</v>
      </c>
      <c r="H88" s="4" t="s">
        <v>398</v>
      </c>
      <c r="I88" s="4">
        <v>0</v>
      </c>
    </row>
    <row r="89" spans="6:9" x14ac:dyDescent="0.3">
      <c r="F89" s="4">
        <v>135</v>
      </c>
      <c r="G89" s="4" t="s">
        <v>400</v>
      </c>
      <c r="H89" s="4" t="s">
        <v>398</v>
      </c>
      <c r="I89" s="4">
        <v>0</v>
      </c>
    </row>
  </sheetData>
  <mergeCells count="5">
    <mergeCell ref="B3:D3"/>
    <mergeCell ref="F3:I3"/>
    <mergeCell ref="F39:G39"/>
    <mergeCell ref="F38:I38"/>
    <mergeCell ref="B39:C39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U35"/>
  <sheetViews>
    <sheetView topLeftCell="Q1" workbookViewId="0">
      <selection activeCell="G66" sqref="G66"/>
    </sheetView>
  </sheetViews>
  <sheetFormatPr defaultRowHeight="12" x14ac:dyDescent="0.3"/>
  <cols>
    <col min="1" max="1" width="5" style="5" bestFit="1" customWidth="1"/>
    <col min="2" max="2" width="8" style="5" bestFit="1" customWidth="1"/>
    <col min="3" max="3" width="12.375" style="5" bestFit="1" customWidth="1"/>
    <col min="4" max="4" width="12.875" style="5" bestFit="1" customWidth="1"/>
    <col min="5" max="5" width="12.875" style="34" customWidth="1"/>
    <col min="6" max="6" width="13.125" style="5" bestFit="1" customWidth="1"/>
    <col min="7" max="7" width="12.375" style="5" bestFit="1" customWidth="1"/>
    <col min="8" max="8" width="12.875" style="5" bestFit="1" customWidth="1"/>
    <col min="9" max="9" width="24.125" style="34" bestFit="1" customWidth="1"/>
    <col min="10" max="10" width="13.125" style="5" bestFit="1" customWidth="1"/>
    <col min="11" max="11" width="12.375" style="5" bestFit="1" customWidth="1"/>
    <col min="12" max="12" width="12.875" style="5" bestFit="1" customWidth="1"/>
    <col min="13" max="13" width="12.875" style="34" customWidth="1"/>
    <col min="14" max="14" width="13.125" style="5" bestFit="1" customWidth="1"/>
    <col min="15" max="15" width="12.375" style="5" bestFit="1" customWidth="1"/>
    <col min="16" max="16" width="12.875" style="5" bestFit="1" customWidth="1"/>
    <col min="17" max="17" width="12.875" style="34" customWidth="1"/>
    <col min="18" max="18" width="13.125" style="5" bestFit="1" customWidth="1"/>
    <col min="19" max="19" width="12.375" style="5" bestFit="1" customWidth="1"/>
    <col min="20" max="20" width="12.875" style="5" bestFit="1" customWidth="1"/>
    <col min="21" max="21" width="13.125" style="5" bestFit="1" customWidth="1"/>
    <col min="22" max="22" width="12.375" style="5" bestFit="1" customWidth="1"/>
    <col min="23" max="23" width="12.875" style="5" bestFit="1" customWidth="1"/>
    <col min="24" max="24" width="13.125" style="5" bestFit="1" customWidth="1"/>
    <col min="25" max="25" width="12.375" style="5" bestFit="1" customWidth="1"/>
    <col min="26" max="26" width="12.875" style="5" bestFit="1" customWidth="1"/>
    <col min="27" max="27" width="13.125" style="5" bestFit="1" customWidth="1"/>
    <col min="28" max="28" width="12.375" style="5" bestFit="1" customWidth="1"/>
    <col min="29" max="29" width="12.875" style="5" bestFit="1" customWidth="1"/>
    <col min="30" max="30" width="13.125" style="5" bestFit="1" customWidth="1"/>
    <col min="31" max="31" width="12.375" style="5" bestFit="1" customWidth="1"/>
    <col min="32" max="32" width="12.875" style="5" bestFit="1" customWidth="1"/>
    <col min="33" max="33" width="13.125" style="5" bestFit="1" customWidth="1"/>
    <col min="34" max="34" width="13.375" style="5" bestFit="1" customWidth="1"/>
    <col min="35" max="35" width="13.875" style="5" bestFit="1" customWidth="1"/>
    <col min="36" max="36" width="14.125" style="5" bestFit="1" customWidth="1"/>
    <col min="37" max="37" width="2.625" style="6" customWidth="1"/>
    <col min="38" max="38" width="9" style="7"/>
    <col min="39" max="40" width="24.5" style="7" customWidth="1"/>
    <col min="41" max="42" width="9" style="7"/>
    <col min="43" max="43" width="5.125" style="7" bestFit="1" customWidth="1"/>
    <col min="44" max="44" width="13.375" style="7" bestFit="1" customWidth="1"/>
    <col min="45" max="45" width="35" style="7" bestFit="1" customWidth="1"/>
    <col min="46" max="46" width="10.5" style="7" bestFit="1" customWidth="1"/>
    <col min="47" max="47" width="14.25" style="7" bestFit="1" customWidth="1"/>
    <col min="48" max="16384" width="9" style="7"/>
  </cols>
  <sheetData>
    <row r="1" spans="1:47" x14ac:dyDescent="0.3">
      <c r="A1" s="1" t="s">
        <v>0</v>
      </c>
      <c r="B1" s="1" t="s">
        <v>83</v>
      </c>
      <c r="C1" s="1" t="s">
        <v>85</v>
      </c>
      <c r="D1" s="1" t="s">
        <v>87</v>
      </c>
      <c r="E1" s="35" t="s">
        <v>592</v>
      </c>
      <c r="F1" s="1" t="s">
        <v>89</v>
      </c>
      <c r="G1" s="1" t="s">
        <v>90</v>
      </c>
      <c r="H1" s="1" t="s">
        <v>91</v>
      </c>
      <c r="I1" s="35" t="s">
        <v>593</v>
      </c>
      <c r="J1" s="1" t="s">
        <v>92</v>
      </c>
      <c r="K1" s="1" t="s">
        <v>93</v>
      </c>
      <c r="L1" s="1" t="s">
        <v>94</v>
      </c>
      <c r="M1" s="35" t="s">
        <v>594</v>
      </c>
      <c r="N1" s="1" t="s">
        <v>95</v>
      </c>
      <c r="O1" s="1" t="s">
        <v>96</v>
      </c>
      <c r="P1" s="1" t="s">
        <v>97</v>
      </c>
      <c r="Q1" s="35" t="s">
        <v>595</v>
      </c>
      <c r="R1" s="1" t="s">
        <v>98</v>
      </c>
      <c r="S1" s="1" t="s">
        <v>99</v>
      </c>
      <c r="T1" s="1" t="s">
        <v>100</v>
      </c>
      <c r="U1" s="1" t="s">
        <v>101</v>
      </c>
      <c r="V1" s="1" t="s">
        <v>102</v>
      </c>
      <c r="W1" s="1" t="s">
        <v>103</v>
      </c>
      <c r="X1" s="1" t="s">
        <v>104</v>
      </c>
      <c r="Y1" s="1" t="s">
        <v>105</v>
      </c>
      <c r="Z1" s="1" t="s">
        <v>106</v>
      </c>
      <c r="AA1" s="1" t="s">
        <v>107</v>
      </c>
      <c r="AB1" s="1" t="s">
        <v>108</v>
      </c>
      <c r="AC1" s="1" t="s">
        <v>109</v>
      </c>
      <c r="AD1" s="1" t="s">
        <v>110</v>
      </c>
      <c r="AE1" s="1" t="s">
        <v>111</v>
      </c>
      <c r="AF1" s="1" t="s">
        <v>112</v>
      </c>
      <c r="AG1" s="1" t="s">
        <v>113</v>
      </c>
      <c r="AH1" s="1" t="s">
        <v>114</v>
      </c>
      <c r="AI1" s="1" t="s">
        <v>115</v>
      </c>
      <c r="AJ1" s="1" t="s">
        <v>116</v>
      </c>
    </row>
    <row r="2" spans="1:47" x14ac:dyDescent="0.3">
      <c r="A2" s="5">
        <v>1</v>
      </c>
      <c r="B2" s="5">
        <v>1</v>
      </c>
      <c r="C2" s="5">
        <v>2</v>
      </c>
      <c r="D2" s="10">
        <v>11001</v>
      </c>
      <c r="E2" s="34" t="str">
        <f>IF(C2=1,D2&amp;" "&amp;"골드",IF(C2=2,INDEX('11.Item_Table'!$E:$E,MATCH(D2,'11.Item_Table'!$B:$B,0)),IF(C2=99,"ID_"&amp;D2&amp;"_가챠 그룹 테이블 참조","-")))</f>
        <v>목검</v>
      </c>
      <c r="F2" s="5">
        <v>1</v>
      </c>
      <c r="G2" s="5">
        <v>2</v>
      </c>
      <c r="H2" s="10">
        <v>11002</v>
      </c>
      <c r="I2" s="34" t="str">
        <f>IF(G2=1,H2&amp;" "&amp;"골드",IF(G2=2,INDEX('11.Item_Table'!$E:$E,MATCH(H2,'11.Item_Table'!$B:$B,0)),IF(G2=99,"ID_"&amp;H2&amp;"_가챠 그룹 테이블 참조","-")))</f>
        <v>조잡한 검</v>
      </c>
      <c r="J2" s="5">
        <v>1</v>
      </c>
      <c r="K2" s="5">
        <v>2</v>
      </c>
      <c r="L2" s="10">
        <v>11003</v>
      </c>
      <c r="M2" s="34" t="str">
        <f>IF(K2=1,L2&amp;" "&amp;"골드",IF(K2=2,INDEX('11.Item_Table'!$E:$E,MATCH(L2,'11.Item_Table'!$B:$B,0)),IF(K2=99,"ID_"&amp;L2&amp;"_가챠 그룹 테이블 참조","-")))</f>
        <v>철제 검</v>
      </c>
      <c r="N2" s="5">
        <v>1</v>
      </c>
      <c r="O2" s="5">
        <v>0</v>
      </c>
      <c r="P2" s="5">
        <v>0</v>
      </c>
      <c r="Q2" s="34" t="str">
        <f>IF(O2=1,P2&amp;" "&amp;"골드",IF(O2=2,INDEX('11.Item_Table'!$E:$E,MATCH(P2,'11.Item_Table'!$B:$B,0)),IF(O2=99,"ID_"&amp;P2&amp;"_가챠 그룹 테이블 참조","-")))</f>
        <v>-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I2" s="5">
        <v>0</v>
      </c>
      <c r="AJ2" s="5">
        <v>0</v>
      </c>
      <c r="AM2" s="42" t="s">
        <v>152</v>
      </c>
      <c r="AN2" s="42"/>
      <c r="AO2" s="42"/>
      <c r="AQ2" s="43" t="s">
        <v>157</v>
      </c>
      <c r="AR2" s="43"/>
      <c r="AS2" s="43"/>
    </row>
    <row r="3" spans="1:47" x14ac:dyDescent="0.3">
      <c r="A3" s="34">
        <v>1101</v>
      </c>
      <c r="B3" s="34">
        <v>1</v>
      </c>
      <c r="C3" s="34">
        <v>1</v>
      </c>
      <c r="D3" s="33">
        <v>10</v>
      </c>
      <c r="E3" s="34" t="str">
        <f>IF(C3=1,D3&amp;" "&amp;"골드",IF(C3=2,INDEX('11.Item_Table'!$E:$E,MATCH(D3,'11.Item_Table'!$B:$B,0)),IF(C3=99,"ID_"&amp;D3&amp;"_가챠 그룹 테이블 참조","-")))</f>
        <v>10 골드</v>
      </c>
      <c r="F3" s="34">
        <v>0</v>
      </c>
      <c r="G3" s="34">
        <v>99</v>
      </c>
      <c r="H3" s="34">
        <v>1101</v>
      </c>
      <c r="I3" s="34" t="str">
        <f>IF(G3=1,H3&amp;" "&amp;"골드",IF(G3=2,INDEX('11.Item_Table'!$E:$E,MATCH(H3,'11.Item_Table'!$B:$B,0)),IF(G3=99,"ID_"&amp;H3&amp;"_가챠 그룹 테이블 참조","-")))</f>
        <v>ID_1101_가챠 그룹 테이블 참조</v>
      </c>
      <c r="J3" s="34">
        <v>1</v>
      </c>
      <c r="K3" s="34">
        <v>0</v>
      </c>
      <c r="L3" s="34">
        <v>0</v>
      </c>
      <c r="M3" s="34" t="str">
        <f>IF(K3=1,L3&amp;" "&amp;"골드",IF(K3=2,INDEX('11.Item_Table'!$E:$E,MATCH(L3,'11.Item_Table'!$B:$B,0)),IF(K3=99,"ID_"&amp;L3&amp;"_가챠 그룹 테이블 참조","-")))</f>
        <v>-</v>
      </c>
      <c r="N3" s="34">
        <v>0</v>
      </c>
      <c r="O3" s="34">
        <v>0</v>
      </c>
      <c r="P3" s="34">
        <v>0</v>
      </c>
      <c r="Q3" s="34" t="str">
        <f>IF(O3=1,P3&amp;" "&amp;"골드",IF(O3=2,INDEX('11.Item_Table'!$E:$E,MATCH(P3,'11.Item_Table'!$B:$B,0)),IF(O3=99,"ID_"&amp;P3&amp;"_가챠 그룹 테이블 참조","-")))</f>
        <v>-</v>
      </c>
      <c r="R3" s="34">
        <v>0</v>
      </c>
      <c r="S3" s="34">
        <v>0</v>
      </c>
      <c r="T3" s="34">
        <v>0</v>
      </c>
      <c r="U3" s="34">
        <v>0</v>
      </c>
      <c r="V3" s="34">
        <v>0</v>
      </c>
      <c r="W3" s="34">
        <v>0</v>
      </c>
      <c r="X3" s="34">
        <v>0</v>
      </c>
      <c r="Y3" s="34">
        <v>0</v>
      </c>
      <c r="Z3" s="34">
        <v>0</v>
      </c>
      <c r="AA3" s="34">
        <v>0</v>
      </c>
      <c r="AB3" s="34">
        <v>0</v>
      </c>
      <c r="AC3" s="34">
        <v>0</v>
      </c>
      <c r="AD3" s="34">
        <v>0</v>
      </c>
      <c r="AE3" s="34">
        <v>0</v>
      </c>
      <c r="AF3" s="34">
        <v>0</v>
      </c>
      <c r="AG3" s="34">
        <v>0</v>
      </c>
      <c r="AH3" s="34">
        <v>0</v>
      </c>
      <c r="AI3" s="34">
        <v>0</v>
      </c>
      <c r="AJ3" s="34">
        <v>0</v>
      </c>
      <c r="AM3" s="10" t="s">
        <v>1</v>
      </c>
      <c r="AN3" s="10" t="s">
        <v>3</v>
      </c>
      <c r="AO3" s="10" t="s">
        <v>31</v>
      </c>
      <c r="AQ3" s="5" t="s">
        <v>153</v>
      </c>
      <c r="AR3" s="5" t="s">
        <v>3</v>
      </c>
      <c r="AS3" s="5" t="s">
        <v>154</v>
      </c>
    </row>
    <row r="4" spans="1:47" x14ac:dyDescent="0.3">
      <c r="D4" s="10"/>
      <c r="AM4" s="10" t="s">
        <v>81</v>
      </c>
      <c r="AN4" s="10" t="s">
        <v>117</v>
      </c>
      <c r="AO4" s="10" t="s">
        <v>33</v>
      </c>
      <c r="AQ4" s="5">
        <v>1</v>
      </c>
      <c r="AR4" s="5" t="s">
        <v>155</v>
      </c>
      <c r="AS4" s="5" t="s">
        <v>156</v>
      </c>
    </row>
    <row r="5" spans="1:47" x14ac:dyDescent="0.3">
      <c r="AM5" s="10" t="s">
        <v>82</v>
      </c>
      <c r="AN5" s="10" t="s">
        <v>118</v>
      </c>
      <c r="AO5" s="10" t="s">
        <v>32</v>
      </c>
      <c r="AQ5" s="5">
        <v>2</v>
      </c>
      <c r="AR5" s="5" t="s">
        <v>158</v>
      </c>
      <c r="AS5" s="5" t="s">
        <v>159</v>
      </c>
    </row>
    <row r="6" spans="1:47" x14ac:dyDescent="0.3">
      <c r="AM6" s="10" t="s">
        <v>84</v>
      </c>
      <c r="AN6" s="10" t="s">
        <v>120</v>
      </c>
      <c r="AO6" s="10" t="s">
        <v>32</v>
      </c>
      <c r="AQ6" s="5">
        <v>3</v>
      </c>
      <c r="AR6" s="5" t="s">
        <v>160</v>
      </c>
      <c r="AS6" s="5" t="s">
        <v>161</v>
      </c>
    </row>
    <row r="7" spans="1:47" x14ac:dyDescent="0.3">
      <c r="AM7" s="10" t="s">
        <v>86</v>
      </c>
      <c r="AN7" s="10" t="s">
        <v>125</v>
      </c>
      <c r="AO7" s="10" t="s">
        <v>2</v>
      </c>
    </row>
    <row r="8" spans="1:47" x14ac:dyDescent="0.3">
      <c r="AM8" s="10" t="s">
        <v>88</v>
      </c>
      <c r="AN8" s="10" t="s">
        <v>128</v>
      </c>
      <c r="AO8" s="10" t="s">
        <v>2</v>
      </c>
    </row>
    <row r="9" spans="1:47" x14ac:dyDescent="0.3">
      <c r="AM9" s="10" t="s">
        <v>90</v>
      </c>
      <c r="AN9" s="10" t="s">
        <v>129</v>
      </c>
      <c r="AO9" s="10" t="s">
        <v>32</v>
      </c>
    </row>
    <row r="10" spans="1:47" x14ac:dyDescent="0.3">
      <c r="AM10" s="10" t="s">
        <v>91</v>
      </c>
      <c r="AN10" s="10" t="s">
        <v>130</v>
      </c>
      <c r="AO10" s="10" t="s">
        <v>2</v>
      </c>
      <c r="AQ10" s="42" t="s">
        <v>179</v>
      </c>
      <c r="AR10" s="42"/>
      <c r="AS10" s="42"/>
      <c r="AT10" s="42"/>
      <c r="AU10" s="42"/>
    </row>
    <row r="11" spans="1:47" x14ac:dyDescent="0.3">
      <c r="AM11" s="10" t="s">
        <v>92</v>
      </c>
      <c r="AN11" s="10" t="s">
        <v>131</v>
      </c>
      <c r="AO11" s="10" t="s">
        <v>2</v>
      </c>
      <c r="AQ11" s="18" t="s">
        <v>308</v>
      </c>
      <c r="AR11" s="18" t="s">
        <v>3</v>
      </c>
      <c r="AS11" s="18" t="s">
        <v>163</v>
      </c>
      <c r="AT11" s="18" t="s">
        <v>164</v>
      </c>
      <c r="AU11" s="18" t="s">
        <v>189</v>
      </c>
    </row>
    <row r="12" spans="1:47" x14ac:dyDescent="0.3">
      <c r="AM12" s="10" t="s">
        <v>93</v>
      </c>
      <c r="AN12" s="10" t="s">
        <v>132</v>
      </c>
      <c r="AO12" s="10" t="s">
        <v>32</v>
      </c>
      <c r="AQ12" s="18">
        <v>1</v>
      </c>
      <c r="AR12" s="18" t="s">
        <v>165</v>
      </c>
      <c r="AS12" s="18" t="s">
        <v>166</v>
      </c>
      <c r="AT12" s="18"/>
      <c r="AU12" s="18"/>
    </row>
    <row r="13" spans="1:47" x14ac:dyDescent="0.3">
      <c r="AM13" s="10" t="s">
        <v>94</v>
      </c>
      <c r="AN13" s="10" t="s">
        <v>133</v>
      </c>
      <c r="AO13" s="10" t="s">
        <v>2</v>
      </c>
      <c r="AQ13" s="18">
        <v>2</v>
      </c>
      <c r="AR13" s="18" t="s">
        <v>167</v>
      </c>
      <c r="AS13" s="18" t="s">
        <v>5</v>
      </c>
      <c r="AT13" s="18" t="s">
        <v>170</v>
      </c>
      <c r="AU13" s="18" t="s">
        <v>190</v>
      </c>
    </row>
    <row r="14" spans="1:47" x14ac:dyDescent="0.3">
      <c r="AM14" s="10" t="s">
        <v>95</v>
      </c>
      <c r="AN14" s="10" t="s">
        <v>134</v>
      </c>
      <c r="AO14" s="10" t="s">
        <v>2</v>
      </c>
      <c r="AQ14" s="18">
        <v>3</v>
      </c>
      <c r="AR14" s="18" t="s">
        <v>168</v>
      </c>
      <c r="AS14" s="18" t="s">
        <v>166</v>
      </c>
      <c r="AT14" s="18"/>
      <c r="AU14" s="18"/>
    </row>
    <row r="15" spans="1:47" x14ac:dyDescent="0.3">
      <c r="AM15" s="10" t="s">
        <v>96</v>
      </c>
      <c r="AN15" s="10" t="s">
        <v>135</v>
      </c>
      <c r="AO15" s="10" t="s">
        <v>32</v>
      </c>
      <c r="AQ15" s="18">
        <v>4</v>
      </c>
      <c r="AR15" s="18" t="s">
        <v>169</v>
      </c>
      <c r="AS15" s="18" t="s">
        <v>171</v>
      </c>
      <c r="AT15" s="18"/>
      <c r="AU15" s="18" t="s">
        <v>191</v>
      </c>
    </row>
    <row r="16" spans="1:47" x14ac:dyDescent="0.3">
      <c r="AM16" s="10" t="s">
        <v>97</v>
      </c>
      <c r="AN16" s="10" t="s">
        <v>136</v>
      </c>
      <c r="AO16" s="10" t="s">
        <v>2</v>
      </c>
      <c r="AQ16" s="18">
        <v>5</v>
      </c>
      <c r="AR16" s="18" t="s">
        <v>187</v>
      </c>
      <c r="AS16" s="18" t="s">
        <v>188</v>
      </c>
      <c r="AT16" s="18"/>
      <c r="AU16" s="18" t="s">
        <v>192</v>
      </c>
    </row>
    <row r="17" spans="39:47" x14ac:dyDescent="0.3">
      <c r="AM17" s="10" t="s">
        <v>98</v>
      </c>
      <c r="AN17" s="10" t="s">
        <v>137</v>
      </c>
      <c r="AO17" s="10" t="s">
        <v>2</v>
      </c>
      <c r="AQ17" s="18">
        <v>99</v>
      </c>
      <c r="AR17" s="18" t="s">
        <v>596</v>
      </c>
      <c r="AS17" s="18" t="s">
        <v>176</v>
      </c>
      <c r="AT17" s="18"/>
      <c r="AU17" s="18" t="s">
        <v>597</v>
      </c>
    </row>
    <row r="18" spans="39:47" x14ac:dyDescent="0.3">
      <c r="AM18" s="10" t="s">
        <v>99</v>
      </c>
      <c r="AN18" s="10" t="s">
        <v>138</v>
      </c>
      <c r="AO18" s="10" t="s">
        <v>32</v>
      </c>
    </row>
    <row r="19" spans="39:47" x14ac:dyDescent="0.3">
      <c r="AM19" s="10" t="s">
        <v>100</v>
      </c>
      <c r="AN19" s="10" t="s">
        <v>139</v>
      </c>
      <c r="AO19" s="10" t="s">
        <v>2</v>
      </c>
    </row>
    <row r="20" spans="39:47" x14ac:dyDescent="0.3">
      <c r="AM20" s="10" t="s">
        <v>101</v>
      </c>
      <c r="AN20" s="10" t="s">
        <v>140</v>
      </c>
      <c r="AO20" s="10" t="s">
        <v>2</v>
      </c>
    </row>
    <row r="21" spans="39:47" x14ac:dyDescent="0.3">
      <c r="AM21" s="10" t="s">
        <v>102</v>
      </c>
      <c r="AN21" s="10" t="s">
        <v>141</v>
      </c>
      <c r="AO21" s="10" t="s">
        <v>32</v>
      </c>
    </row>
    <row r="22" spans="39:47" x14ac:dyDescent="0.3">
      <c r="AM22" s="10" t="s">
        <v>103</v>
      </c>
      <c r="AN22" s="10" t="s">
        <v>142</v>
      </c>
      <c r="AO22" s="10" t="s">
        <v>2</v>
      </c>
    </row>
    <row r="23" spans="39:47" x14ac:dyDescent="0.3">
      <c r="AM23" s="10" t="s">
        <v>104</v>
      </c>
      <c r="AN23" s="10" t="s">
        <v>143</v>
      </c>
      <c r="AO23" s="10" t="s">
        <v>2</v>
      </c>
    </row>
    <row r="24" spans="39:47" x14ac:dyDescent="0.3">
      <c r="AM24" s="10" t="s">
        <v>105</v>
      </c>
      <c r="AN24" s="10" t="s">
        <v>144</v>
      </c>
      <c r="AO24" s="10" t="s">
        <v>32</v>
      </c>
    </row>
    <row r="25" spans="39:47" x14ac:dyDescent="0.3">
      <c r="AM25" s="10" t="s">
        <v>106</v>
      </c>
      <c r="AN25" s="10" t="s">
        <v>145</v>
      </c>
      <c r="AO25" s="10" t="s">
        <v>2</v>
      </c>
    </row>
    <row r="26" spans="39:47" x14ac:dyDescent="0.3">
      <c r="AM26" s="10" t="s">
        <v>107</v>
      </c>
      <c r="AN26" s="10" t="s">
        <v>146</v>
      </c>
      <c r="AO26" s="10" t="s">
        <v>2</v>
      </c>
    </row>
    <row r="27" spans="39:47" x14ac:dyDescent="0.3">
      <c r="AM27" s="10" t="s">
        <v>108</v>
      </c>
      <c r="AN27" s="10" t="s">
        <v>147</v>
      </c>
      <c r="AO27" s="10" t="s">
        <v>32</v>
      </c>
    </row>
    <row r="28" spans="39:47" x14ac:dyDescent="0.3">
      <c r="AM28" s="10" t="s">
        <v>109</v>
      </c>
      <c r="AN28" s="10" t="s">
        <v>148</v>
      </c>
      <c r="AO28" s="10" t="s">
        <v>2</v>
      </c>
    </row>
    <row r="29" spans="39:47" x14ac:dyDescent="0.3">
      <c r="AM29" s="10" t="s">
        <v>110</v>
      </c>
      <c r="AN29" s="10" t="s">
        <v>149</v>
      </c>
      <c r="AO29" s="10" t="s">
        <v>2</v>
      </c>
    </row>
    <row r="30" spans="39:47" x14ac:dyDescent="0.3">
      <c r="AM30" s="10" t="s">
        <v>111</v>
      </c>
      <c r="AN30" s="10" t="s">
        <v>121</v>
      </c>
      <c r="AO30" s="10" t="s">
        <v>32</v>
      </c>
    </row>
    <row r="31" spans="39:47" x14ac:dyDescent="0.3">
      <c r="AM31" s="10" t="s">
        <v>112</v>
      </c>
      <c r="AN31" s="10" t="s">
        <v>126</v>
      </c>
      <c r="AO31" s="10" t="s">
        <v>2</v>
      </c>
    </row>
    <row r="32" spans="39:47" x14ac:dyDescent="0.3">
      <c r="AM32" s="10" t="s">
        <v>113</v>
      </c>
      <c r="AN32" s="10" t="s">
        <v>150</v>
      </c>
      <c r="AO32" s="10" t="s">
        <v>2</v>
      </c>
    </row>
    <row r="33" spans="39:41" x14ac:dyDescent="0.3">
      <c r="AM33" s="10" t="s">
        <v>114</v>
      </c>
      <c r="AN33" s="10" t="s">
        <v>122</v>
      </c>
      <c r="AO33" s="10" t="s">
        <v>32</v>
      </c>
    </row>
    <row r="34" spans="39:41" x14ac:dyDescent="0.3">
      <c r="AM34" s="10" t="s">
        <v>115</v>
      </c>
      <c r="AN34" s="10" t="s">
        <v>127</v>
      </c>
      <c r="AO34" s="10" t="s">
        <v>2</v>
      </c>
    </row>
    <row r="35" spans="39:41" x14ac:dyDescent="0.3">
      <c r="AM35" s="10" t="s">
        <v>116</v>
      </c>
      <c r="AN35" s="10" t="s">
        <v>151</v>
      </c>
      <c r="AO35" s="10" t="s">
        <v>2</v>
      </c>
    </row>
  </sheetData>
  <mergeCells count="3">
    <mergeCell ref="AM2:AO2"/>
    <mergeCell ref="AQ2:AS2"/>
    <mergeCell ref="AQ10:AU1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0509-BD2B-4A27-9F0E-8A3819025AFB}">
  <sheetPr codeName="Sheet3"/>
  <dimension ref="A1:T113"/>
  <sheetViews>
    <sheetView topLeftCell="A22" workbookViewId="0">
      <selection activeCell="N41" sqref="N41"/>
    </sheetView>
  </sheetViews>
  <sheetFormatPr defaultRowHeight="12" x14ac:dyDescent="0.3"/>
  <cols>
    <col min="1" max="1" width="3.25" style="5" bestFit="1" customWidth="1"/>
    <col min="2" max="2" width="9.75" style="5" bestFit="1" customWidth="1"/>
    <col min="3" max="3" width="7.875" style="5" bestFit="1" customWidth="1"/>
    <col min="4" max="4" width="12.875" style="5" bestFit="1" customWidth="1"/>
    <col min="5" max="5" width="13.125" style="5" bestFit="1" customWidth="1"/>
    <col min="6" max="6" width="13.125" style="22" customWidth="1"/>
    <col min="7" max="7" width="12.375" style="5" bestFit="1" customWidth="1"/>
    <col min="8" max="8" width="12.875" style="5" bestFit="1" customWidth="1"/>
    <col min="9" max="9" width="2.5" style="6" customWidth="1"/>
    <col min="10" max="10" width="8.25" style="7" customWidth="1"/>
    <col min="11" max="11" width="9" style="7"/>
    <col min="12" max="13" width="24.5" style="7" customWidth="1"/>
    <col min="14" max="15" width="9" style="7"/>
    <col min="16" max="16" width="5.125" style="7" bestFit="1" customWidth="1"/>
    <col min="17" max="17" width="17.875" style="7" customWidth="1"/>
    <col min="18" max="18" width="35" style="7" bestFit="1" customWidth="1"/>
    <col min="19" max="19" width="10.5" style="7" bestFit="1" customWidth="1"/>
    <col min="20" max="20" width="14.25" style="7" bestFit="1" customWidth="1"/>
    <col min="21" max="16384" width="9" style="7"/>
  </cols>
  <sheetData>
    <row r="1" spans="1:20" x14ac:dyDescent="0.3">
      <c r="A1" s="1" t="s">
        <v>0</v>
      </c>
      <c r="B1" s="1" t="s">
        <v>174</v>
      </c>
      <c r="C1" s="1" t="s">
        <v>176</v>
      </c>
      <c r="D1" s="1" t="s">
        <v>178</v>
      </c>
      <c r="E1" s="1" t="s">
        <v>162</v>
      </c>
      <c r="F1" s="22" t="s">
        <v>293</v>
      </c>
      <c r="G1" s="1" t="s">
        <v>163</v>
      </c>
      <c r="H1" s="1" t="s">
        <v>164</v>
      </c>
    </row>
    <row r="2" spans="1:20" x14ac:dyDescent="0.3">
      <c r="A2" s="5">
        <v>1</v>
      </c>
      <c r="B2" s="5">
        <v>4</v>
      </c>
      <c r="C2" s="5">
        <v>4001</v>
      </c>
      <c r="D2" s="5">
        <v>715</v>
      </c>
      <c r="E2" s="5">
        <v>2</v>
      </c>
      <c r="F2" s="23" t="str">
        <f>IF(E2=2,INDEX('11.Item_Table'!E:E,MATCH(G2,'11.Item_Table'!B:B,0)),IF(E2=1,G2&amp;" 골드","-"))</f>
        <v>목검</v>
      </c>
      <c r="G2" s="10">
        <v>11001</v>
      </c>
      <c r="H2" s="5">
        <v>1</v>
      </c>
      <c r="J2" s="7">
        <v>4001</v>
      </c>
      <c r="K2" s="7">
        <f>SUMIF(C:C,J2,D:D)</f>
        <v>10000</v>
      </c>
      <c r="L2" s="42" t="s">
        <v>152</v>
      </c>
      <c r="M2" s="42"/>
      <c r="N2" s="42"/>
      <c r="P2" s="43" t="s">
        <v>193</v>
      </c>
      <c r="Q2" s="43"/>
      <c r="R2" s="43"/>
    </row>
    <row r="3" spans="1:20" x14ac:dyDescent="0.3">
      <c r="A3" s="5">
        <v>2</v>
      </c>
      <c r="B3" s="5">
        <v>4</v>
      </c>
      <c r="C3" s="5">
        <v>4001</v>
      </c>
      <c r="D3" s="5">
        <v>429</v>
      </c>
      <c r="E3" s="5">
        <v>2</v>
      </c>
      <c r="F3" s="23" t="str">
        <f>IF(E3=2,INDEX('11.Item_Table'!E:E,MATCH(G3,'11.Item_Table'!B:B,0)),IF(E3=1,G3&amp;" 골드","-"))</f>
        <v>조잡한 검</v>
      </c>
      <c r="G3" s="10">
        <v>11002</v>
      </c>
      <c r="H3" s="5">
        <v>1</v>
      </c>
      <c r="L3" s="10" t="s">
        <v>1</v>
      </c>
      <c r="M3" s="10" t="s">
        <v>3</v>
      </c>
      <c r="N3" s="10" t="s">
        <v>31</v>
      </c>
      <c r="P3" s="5" t="s">
        <v>153</v>
      </c>
      <c r="Q3" s="5" t="s">
        <v>3</v>
      </c>
      <c r="R3" s="5" t="s">
        <v>180</v>
      </c>
    </row>
    <row r="4" spans="1:20" x14ac:dyDescent="0.3">
      <c r="A4" s="5">
        <v>3</v>
      </c>
      <c r="B4" s="5">
        <v>4</v>
      </c>
      <c r="C4" s="5">
        <v>4001</v>
      </c>
      <c r="D4" s="5">
        <v>45</v>
      </c>
      <c r="E4" s="5">
        <v>2</v>
      </c>
      <c r="F4" s="23" t="str">
        <f>IF(E4=2,INDEX('11.Item_Table'!E:E,MATCH(G4,'11.Item_Table'!B:B,0)),IF(E4=1,G4&amp;" 골드","-"))</f>
        <v>철제 검</v>
      </c>
      <c r="G4" s="10">
        <v>11003</v>
      </c>
      <c r="H4" s="5">
        <v>1</v>
      </c>
      <c r="L4" s="10" t="s">
        <v>81</v>
      </c>
      <c r="M4" s="10" t="s">
        <v>117</v>
      </c>
      <c r="N4" s="10" t="s">
        <v>33</v>
      </c>
      <c r="P4" s="5">
        <v>1</v>
      </c>
      <c r="Q4" s="5" t="s">
        <v>183</v>
      </c>
      <c r="R4" s="5" t="s">
        <v>184</v>
      </c>
    </row>
    <row r="5" spans="1:20" x14ac:dyDescent="0.3">
      <c r="A5" s="5">
        <v>4</v>
      </c>
      <c r="B5" s="5">
        <v>4</v>
      </c>
      <c r="C5" s="5">
        <v>4001</v>
      </c>
      <c r="D5" s="5">
        <v>715</v>
      </c>
      <c r="E5" s="5">
        <v>2</v>
      </c>
      <c r="F5" s="23" t="str">
        <f>IF(E5=2,INDEX('11.Item_Table'!E:E,MATCH(G5,'11.Item_Table'!B:B,0)),IF(E5=1,G5&amp;" 골드","-"))</f>
        <v>목궁</v>
      </c>
      <c r="G5" s="10">
        <v>11004</v>
      </c>
      <c r="H5" s="5">
        <v>1</v>
      </c>
      <c r="J5" s="7" t="s">
        <v>294</v>
      </c>
      <c r="K5" s="7">
        <v>5000</v>
      </c>
      <c r="L5" s="10" t="s">
        <v>173</v>
      </c>
      <c r="M5" s="10" t="s">
        <v>194</v>
      </c>
      <c r="N5" s="10" t="s">
        <v>32</v>
      </c>
      <c r="P5" s="5">
        <v>2</v>
      </c>
      <c r="Q5" s="5" t="s">
        <v>181</v>
      </c>
      <c r="R5" s="5" t="s">
        <v>182</v>
      </c>
    </row>
    <row r="6" spans="1:20" x14ac:dyDescent="0.3">
      <c r="A6" s="5">
        <v>5</v>
      </c>
      <c r="B6" s="5">
        <v>4</v>
      </c>
      <c r="C6" s="5">
        <v>4001</v>
      </c>
      <c r="D6" s="5">
        <v>429</v>
      </c>
      <c r="E6" s="5">
        <v>2</v>
      </c>
      <c r="F6" s="23" t="str">
        <f>IF(E6=2,INDEX('11.Item_Table'!E:E,MATCH(G6,'11.Item_Table'!B:B,0)),IF(E6=1,G6&amp;" 골드","-"))</f>
        <v>조잡한 활</v>
      </c>
      <c r="G6" s="10">
        <v>11005</v>
      </c>
      <c r="H6" s="5">
        <v>1</v>
      </c>
      <c r="J6" s="7" t="s">
        <v>295</v>
      </c>
      <c r="K6" s="7">
        <v>3000</v>
      </c>
      <c r="L6" s="10" t="s">
        <v>175</v>
      </c>
      <c r="M6" s="10" t="s">
        <v>195</v>
      </c>
      <c r="N6" s="10" t="s">
        <v>32</v>
      </c>
      <c r="P6" s="5">
        <v>3</v>
      </c>
      <c r="Q6" s="5" t="s">
        <v>185</v>
      </c>
      <c r="R6" s="5" t="s">
        <v>186</v>
      </c>
    </row>
    <row r="7" spans="1:20" x14ac:dyDescent="0.3">
      <c r="A7" s="5">
        <v>6</v>
      </c>
      <c r="B7" s="5">
        <v>4</v>
      </c>
      <c r="C7" s="5">
        <v>4001</v>
      </c>
      <c r="D7" s="5">
        <v>45</v>
      </c>
      <c r="E7" s="5">
        <v>2</v>
      </c>
      <c r="F7" s="23" t="str">
        <f>IF(E7=2,INDEX('11.Item_Table'!E:E,MATCH(G7,'11.Item_Table'!B:B,0)),IF(E7=1,G7&amp;" 골드","-"))</f>
        <v>각궁</v>
      </c>
      <c r="G7" s="10">
        <v>11006</v>
      </c>
      <c r="H7" s="5">
        <v>1</v>
      </c>
      <c r="J7" s="7" t="s">
        <v>296</v>
      </c>
      <c r="K7" s="7">
        <v>500</v>
      </c>
      <c r="L7" s="10" t="s">
        <v>177</v>
      </c>
      <c r="M7" s="10" t="s">
        <v>196</v>
      </c>
      <c r="N7" s="10" t="s">
        <v>2</v>
      </c>
      <c r="P7" s="7">
        <v>4</v>
      </c>
      <c r="Q7" s="7" t="s">
        <v>292</v>
      </c>
    </row>
    <row r="8" spans="1:20" x14ac:dyDescent="0.3">
      <c r="A8" s="5">
        <v>7</v>
      </c>
      <c r="B8" s="5">
        <v>4</v>
      </c>
      <c r="C8" s="5">
        <v>4001</v>
      </c>
      <c r="D8" s="5">
        <v>715</v>
      </c>
      <c r="E8" s="5">
        <v>2</v>
      </c>
      <c r="F8" s="23" t="str">
        <f>IF(E8=2,INDEX('11.Item_Table'!E:E,MATCH(G8,'11.Item_Table'!B:B,0)),IF(E8=1,G8&amp;" 골드","-"))</f>
        <v>나무 단검</v>
      </c>
      <c r="G8" s="10">
        <v>11007</v>
      </c>
      <c r="H8" s="5">
        <v>1</v>
      </c>
      <c r="J8" s="7" t="s">
        <v>297</v>
      </c>
      <c r="K8" s="7">
        <v>250</v>
      </c>
      <c r="L8" s="10" t="s">
        <v>162</v>
      </c>
      <c r="M8" s="10" t="s">
        <v>119</v>
      </c>
      <c r="N8" s="10" t="s">
        <v>2</v>
      </c>
    </row>
    <row r="9" spans="1:20" x14ac:dyDescent="0.3">
      <c r="A9" s="5">
        <v>8</v>
      </c>
      <c r="B9" s="5">
        <v>4</v>
      </c>
      <c r="C9" s="5">
        <v>4001</v>
      </c>
      <c r="D9" s="5">
        <v>429</v>
      </c>
      <c r="E9" s="5">
        <v>2</v>
      </c>
      <c r="F9" s="23" t="str">
        <f>IF(E9=2,INDEX('11.Item_Table'!E:E,MATCH(G9,'11.Item_Table'!B:B,0)),IF(E9=1,G9&amp;" 골드","-"))</f>
        <v>조잡한 단검</v>
      </c>
      <c r="G9" s="10">
        <v>11008</v>
      </c>
      <c r="H9" s="5">
        <v>1</v>
      </c>
      <c r="J9" s="7" t="s">
        <v>298</v>
      </c>
      <c r="K9" s="7">
        <v>50</v>
      </c>
      <c r="L9" s="10" t="s">
        <v>163</v>
      </c>
      <c r="M9" s="10" t="s">
        <v>123</v>
      </c>
      <c r="N9" s="10" t="s">
        <v>32</v>
      </c>
    </row>
    <row r="10" spans="1:20" x14ac:dyDescent="0.3">
      <c r="A10" s="5">
        <v>9</v>
      </c>
      <c r="B10" s="5">
        <v>4</v>
      </c>
      <c r="C10" s="5">
        <v>4001</v>
      </c>
      <c r="D10" s="5">
        <v>45</v>
      </c>
      <c r="E10" s="5">
        <v>2</v>
      </c>
      <c r="F10" s="23" t="str">
        <f>IF(E10=2,INDEX('11.Item_Table'!E:E,MATCH(G10,'11.Item_Table'!B:B,0)),IF(E10=1,G10&amp;" 골드","-"))</f>
        <v>철제 단검</v>
      </c>
      <c r="G10" s="10">
        <v>11009</v>
      </c>
      <c r="H10" s="5">
        <v>1</v>
      </c>
      <c r="J10" s="7" t="s">
        <v>309</v>
      </c>
      <c r="K10" s="7">
        <v>1000</v>
      </c>
      <c r="L10" s="10" t="s">
        <v>164</v>
      </c>
      <c r="M10" s="10" t="s">
        <v>124</v>
      </c>
      <c r="N10" s="10" t="s">
        <v>2</v>
      </c>
      <c r="P10" s="42" t="s">
        <v>172</v>
      </c>
      <c r="Q10" s="42"/>
      <c r="R10" s="42"/>
      <c r="S10" s="42"/>
      <c r="T10" s="42"/>
    </row>
    <row r="11" spans="1:20" x14ac:dyDescent="0.3">
      <c r="A11" s="5">
        <v>10</v>
      </c>
      <c r="B11" s="5">
        <v>4</v>
      </c>
      <c r="C11" s="5">
        <v>4001</v>
      </c>
      <c r="D11" s="5">
        <v>715</v>
      </c>
      <c r="E11" s="5">
        <v>2</v>
      </c>
      <c r="F11" s="23" t="str">
        <f>IF(E11=2,INDEX('11.Item_Table'!E:E,MATCH(G11,'11.Item_Table'!B:B,0)),IF(E11=1,G11&amp;" 골드","-"))</f>
        <v>나무 대검</v>
      </c>
      <c r="G11" s="10">
        <v>11010</v>
      </c>
      <c r="H11" s="5">
        <v>1</v>
      </c>
      <c r="J11" s="7" t="s">
        <v>310</v>
      </c>
      <c r="K11" s="7">
        <v>200</v>
      </c>
      <c r="P11" s="18" t="s">
        <v>153</v>
      </c>
      <c r="Q11" s="18" t="s">
        <v>3</v>
      </c>
      <c r="R11" s="18" t="s">
        <v>163</v>
      </c>
      <c r="S11" s="18" t="s">
        <v>164</v>
      </c>
      <c r="T11" s="18" t="s">
        <v>189</v>
      </c>
    </row>
    <row r="12" spans="1:20" x14ac:dyDescent="0.3">
      <c r="A12" s="5">
        <v>11</v>
      </c>
      <c r="B12" s="5">
        <v>4</v>
      </c>
      <c r="C12" s="5">
        <v>4001</v>
      </c>
      <c r="D12" s="5">
        <v>429</v>
      </c>
      <c r="E12" s="5">
        <v>2</v>
      </c>
      <c r="F12" s="23" t="str">
        <f>IF(E12=2,INDEX('11.Item_Table'!E:E,MATCH(G12,'11.Item_Table'!B:B,0)),IF(E12=1,G12&amp;" 골드","-"))</f>
        <v>조잡한 대검</v>
      </c>
      <c r="G12" s="10">
        <v>11011</v>
      </c>
      <c r="H12" s="5">
        <v>1</v>
      </c>
      <c r="J12" s="7" t="s">
        <v>299</v>
      </c>
      <c r="K12" s="7">
        <f>SUM(K5:K11)</f>
        <v>10000</v>
      </c>
      <c r="P12" s="18">
        <v>1</v>
      </c>
      <c r="Q12" s="18" t="s">
        <v>165</v>
      </c>
      <c r="R12" s="18" t="s">
        <v>166</v>
      </c>
      <c r="S12" s="18"/>
      <c r="T12" s="18"/>
    </row>
    <row r="13" spans="1:20" x14ac:dyDescent="0.3">
      <c r="A13" s="5">
        <v>12</v>
      </c>
      <c r="B13" s="5">
        <v>4</v>
      </c>
      <c r="C13" s="5">
        <v>4001</v>
      </c>
      <c r="D13" s="5">
        <v>45</v>
      </c>
      <c r="E13" s="5">
        <v>2</v>
      </c>
      <c r="F13" s="23" t="str">
        <f>IF(E13=2,INDEX('11.Item_Table'!E:E,MATCH(G13,'11.Item_Table'!B:B,0)),IF(E13=1,G13&amp;" 골드","-"))</f>
        <v>철제 대검</v>
      </c>
      <c r="G13" s="10">
        <v>11012</v>
      </c>
      <c r="H13" s="5">
        <v>1</v>
      </c>
      <c r="P13" s="18">
        <v>2</v>
      </c>
      <c r="Q13" s="18" t="s">
        <v>167</v>
      </c>
      <c r="R13" s="18" t="s">
        <v>5</v>
      </c>
      <c r="S13" s="18" t="s">
        <v>170</v>
      </c>
      <c r="T13" s="18" t="s">
        <v>190</v>
      </c>
    </row>
    <row r="14" spans="1:20" x14ac:dyDescent="0.3">
      <c r="A14" s="5">
        <v>13</v>
      </c>
      <c r="B14" s="5">
        <v>4</v>
      </c>
      <c r="C14" s="5">
        <v>4001</v>
      </c>
      <c r="D14" s="5">
        <v>715</v>
      </c>
      <c r="E14" s="5">
        <v>2</v>
      </c>
      <c r="F14" s="23" t="str">
        <f>IF(E14=2,INDEX('11.Item_Table'!E:E,MATCH(G14,'11.Item_Table'!B:B,0)),IF(E14=1,G14&amp;" 골드","-"))</f>
        <v>나무 스태프</v>
      </c>
      <c r="G14" s="10">
        <v>11013</v>
      </c>
      <c r="H14" s="5">
        <v>1</v>
      </c>
      <c r="P14" s="18">
        <v>3</v>
      </c>
      <c r="Q14" s="18" t="s">
        <v>168</v>
      </c>
      <c r="R14" s="18" t="s">
        <v>166</v>
      </c>
      <c r="S14" s="18"/>
      <c r="T14" s="18"/>
    </row>
    <row r="15" spans="1:20" x14ac:dyDescent="0.3">
      <c r="A15" s="5">
        <v>14</v>
      </c>
      <c r="B15" s="5">
        <v>4</v>
      </c>
      <c r="C15" s="5">
        <v>4001</v>
      </c>
      <c r="D15" s="5">
        <v>429</v>
      </c>
      <c r="E15" s="5">
        <v>2</v>
      </c>
      <c r="F15" s="23" t="str">
        <f>IF(E15=2,INDEX('11.Item_Table'!E:E,MATCH(G15,'11.Item_Table'!B:B,0)),IF(E15=1,G15&amp;" 골드","-"))</f>
        <v>조잡한 스태프</v>
      </c>
      <c r="G15" s="10">
        <v>11014</v>
      </c>
      <c r="H15" s="5">
        <v>1</v>
      </c>
      <c r="J15" s="7" t="s">
        <v>294</v>
      </c>
      <c r="K15" s="7">
        <v>5005</v>
      </c>
      <c r="P15" s="18">
        <v>4</v>
      </c>
      <c r="Q15" s="18" t="s">
        <v>169</v>
      </c>
      <c r="R15" s="18" t="s">
        <v>171</v>
      </c>
      <c r="S15" s="18"/>
      <c r="T15" s="18" t="s">
        <v>191</v>
      </c>
    </row>
    <row r="16" spans="1:20" x14ac:dyDescent="0.3">
      <c r="A16" s="5">
        <v>15</v>
      </c>
      <c r="B16" s="5">
        <v>4</v>
      </c>
      <c r="C16" s="5">
        <v>4001</v>
      </c>
      <c r="D16" s="5">
        <v>45</v>
      </c>
      <c r="E16" s="5">
        <v>2</v>
      </c>
      <c r="F16" s="23" t="str">
        <f>IF(E16=2,INDEX('11.Item_Table'!E:E,MATCH(G16,'11.Item_Table'!B:B,0)),IF(E16=1,G16&amp;" 골드","-"))</f>
        <v>고목 스태프</v>
      </c>
      <c r="G16" s="10">
        <v>11015</v>
      </c>
      <c r="H16" s="5">
        <v>1</v>
      </c>
      <c r="J16" s="7" t="s">
        <v>295</v>
      </c>
      <c r="K16" s="7">
        <v>3003</v>
      </c>
      <c r="P16" s="18">
        <v>5</v>
      </c>
      <c r="Q16" s="18" t="s">
        <v>187</v>
      </c>
      <c r="R16" s="18" t="s">
        <v>188</v>
      </c>
      <c r="S16" s="18" t="s">
        <v>170</v>
      </c>
      <c r="T16" s="18" t="s">
        <v>192</v>
      </c>
    </row>
    <row r="17" spans="1:11" x14ac:dyDescent="0.3">
      <c r="A17" s="5">
        <v>16</v>
      </c>
      <c r="B17" s="5">
        <v>4</v>
      </c>
      <c r="C17" s="5">
        <v>4001</v>
      </c>
      <c r="D17" s="5">
        <v>3</v>
      </c>
      <c r="E17" s="5">
        <v>2</v>
      </c>
      <c r="F17" s="23" t="str">
        <f>IF(E17=2,INDEX('11.Item_Table'!E:E,MATCH(G17,'11.Item_Table'!B:B,0)),IF(E17=1,G17&amp;" 골드","-"))</f>
        <v>간장</v>
      </c>
      <c r="G17" s="10">
        <v>11016</v>
      </c>
      <c r="H17" s="5">
        <v>1</v>
      </c>
      <c r="J17" s="7" t="s">
        <v>296</v>
      </c>
      <c r="K17" s="7">
        <v>495</v>
      </c>
    </row>
    <row r="18" spans="1:11" x14ac:dyDescent="0.3">
      <c r="A18" s="5">
        <v>17</v>
      </c>
      <c r="B18" s="5">
        <v>4</v>
      </c>
      <c r="C18" s="5">
        <v>4001</v>
      </c>
      <c r="D18" s="5">
        <v>3</v>
      </c>
      <c r="E18" s="5">
        <v>2</v>
      </c>
      <c r="F18" s="23" t="str">
        <f>IF(E18=2,INDEX('11.Item_Table'!E:E,MATCH(G18,'11.Item_Table'!B:B,0)),IF(E18=1,G18&amp;" 골드","-"))</f>
        <v>막야</v>
      </c>
      <c r="G18" s="10">
        <v>11017</v>
      </c>
      <c r="H18" s="5">
        <v>1</v>
      </c>
      <c r="J18" s="7" t="s">
        <v>297</v>
      </c>
      <c r="K18" s="7">
        <v>250</v>
      </c>
    </row>
    <row r="19" spans="1:11" x14ac:dyDescent="0.3">
      <c r="A19" s="5">
        <v>18</v>
      </c>
      <c r="B19" s="5">
        <v>4</v>
      </c>
      <c r="C19" s="5">
        <v>4001</v>
      </c>
      <c r="D19" s="5">
        <v>3</v>
      </c>
      <c r="E19" s="5">
        <v>2</v>
      </c>
      <c r="F19" s="23" t="str">
        <f>IF(E19=2,INDEX('11.Item_Table'!E:E,MATCH(G19,'11.Item_Table'!B:B,0)),IF(E19=1,G19&amp;" 골드","-"))</f>
        <v>팔콘 블레이드</v>
      </c>
      <c r="G19" s="10">
        <v>11018</v>
      </c>
      <c r="H19" s="5">
        <v>1</v>
      </c>
      <c r="J19" s="7" t="s">
        <v>298</v>
      </c>
      <c r="K19" s="7">
        <v>45</v>
      </c>
    </row>
    <row r="20" spans="1:11" x14ac:dyDescent="0.3">
      <c r="A20" s="5">
        <v>19</v>
      </c>
      <c r="B20" s="5">
        <v>4</v>
      </c>
      <c r="C20" s="5">
        <v>4001</v>
      </c>
      <c r="D20" s="5">
        <v>3</v>
      </c>
      <c r="E20" s="5">
        <v>2</v>
      </c>
      <c r="F20" s="23" t="str">
        <f>IF(E20=2,INDEX('11.Item_Table'!E:E,MATCH(G20,'11.Item_Table'!B:B,0)),IF(E20=1,G20&amp;" 골드","-"))</f>
        <v>바보의 활</v>
      </c>
      <c r="G20" s="10">
        <v>11019</v>
      </c>
      <c r="H20" s="5">
        <v>1</v>
      </c>
      <c r="J20" s="7" t="s">
        <v>309</v>
      </c>
      <c r="K20" s="7">
        <v>1001</v>
      </c>
    </row>
    <row r="21" spans="1:11" x14ac:dyDescent="0.3">
      <c r="A21" s="5">
        <v>20</v>
      </c>
      <c r="B21" s="5">
        <v>4</v>
      </c>
      <c r="C21" s="5">
        <v>4001</v>
      </c>
      <c r="D21" s="5">
        <v>3</v>
      </c>
      <c r="E21" s="5">
        <v>2</v>
      </c>
      <c r="F21" s="23" t="str">
        <f>IF(E21=2,INDEX('11.Item_Table'!E:E,MATCH(G21,'11.Item_Table'!B:B,0)),IF(E21=1,G21&amp;" 골드","-"))</f>
        <v>듀얼 쇼크</v>
      </c>
      <c r="G21" s="10">
        <v>11020</v>
      </c>
      <c r="H21" s="5">
        <v>1</v>
      </c>
      <c r="J21" s="7" t="s">
        <v>310</v>
      </c>
      <c r="K21" s="7">
        <v>201</v>
      </c>
    </row>
    <row r="22" spans="1:11" x14ac:dyDescent="0.3">
      <c r="A22" s="5">
        <v>21</v>
      </c>
      <c r="B22" s="5">
        <v>4</v>
      </c>
      <c r="C22" s="5">
        <v>4001</v>
      </c>
      <c r="D22" s="5">
        <v>3</v>
      </c>
      <c r="E22" s="5">
        <v>2</v>
      </c>
      <c r="F22" s="23" t="str">
        <f>IF(E22=2,INDEX('11.Item_Table'!E:E,MATCH(G22,'11.Item_Table'!B:B,0)),IF(E22=1,G22&amp;" 골드","-"))</f>
        <v>휴대용 발리스타</v>
      </c>
      <c r="G22" s="10">
        <v>11021</v>
      </c>
      <c r="H22" s="5">
        <v>1</v>
      </c>
      <c r="J22" s="7" t="s">
        <v>299</v>
      </c>
      <c r="K22" s="7">
        <v>10000</v>
      </c>
    </row>
    <row r="23" spans="1:11" x14ac:dyDescent="0.3">
      <c r="A23" s="5">
        <v>22</v>
      </c>
      <c r="B23" s="5">
        <v>4</v>
      </c>
      <c r="C23" s="5">
        <v>4001</v>
      </c>
      <c r="D23" s="5">
        <v>3</v>
      </c>
      <c r="E23" s="5">
        <v>2</v>
      </c>
      <c r="F23" s="23" t="str">
        <f>IF(E23=2,INDEX('11.Item_Table'!E:E,MATCH(G23,'11.Item_Table'!B:B,0)),IF(E23=1,G23&amp;" 골드","-"))</f>
        <v>포이즌 나이프</v>
      </c>
      <c r="G23" s="10">
        <v>11022</v>
      </c>
      <c r="H23" s="5">
        <v>1</v>
      </c>
    </row>
    <row r="24" spans="1:11" x14ac:dyDescent="0.3">
      <c r="A24" s="5">
        <v>23</v>
      </c>
      <c r="B24" s="5">
        <v>4</v>
      </c>
      <c r="C24" s="5">
        <v>4001</v>
      </c>
      <c r="D24" s="5">
        <v>3</v>
      </c>
      <c r="E24" s="5">
        <v>2</v>
      </c>
      <c r="F24" s="23" t="str">
        <f>IF(E24=2,INDEX('11.Item_Table'!E:E,MATCH(G24,'11.Item_Table'!B:B,0)),IF(E24=1,G24&amp;" 골드","-"))</f>
        <v>쥐의 왕</v>
      </c>
      <c r="G24" s="10">
        <v>11023</v>
      </c>
      <c r="H24" s="5">
        <v>1</v>
      </c>
    </row>
    <row r="25" spans="1:11" x14ac:dyDescent="0.3">
      <c r="A25" s="5">
        <v>24</v>
      </c>
      <c r="B25" s="5">
        <v>4</v>
      </c>
      <c r="C25" s="5">
        <v>4001</v>
      </c>
      <c r="D25" s="5">
        <v>3</v>
      </c>
      <c r="E25" s="5">
        <v>2</v>
      </c>
      <c r="F25" s="23" t="str">
        <f>IF(E25=2,INDEX('11.Item_Table'!E:E,MATCH(G25,'11.Item_Table'!B:B,0)),IF(E25=1,G25&amp;" 골드","-"))</f>
        <v>럭키 나이프</v>
      </c>
      <c r="G25" s="10">
        <v>11024</v>
      </c>
      <c r="H25" s="5">
        <v>1</v>
      </c>
    </row>
    <row r="26" spans="1:11" x14ac:dyDescent="0.3">
      <c r="A26" s="5">
        <v>25</v>
      </c>
      <c r="B26" s="5">
        <v>4</v>
      </c>
      <c r="C26" s="5">
        <v>4001</v>
      </c>
      <c r="D26" s="5">
        <v>3</v>
      </c>
      <c r="E26" s="5">
        <v>2</v>
      </c>
      <c r="F26" s="23" t="str">
        <f>IF(E26=2,INDEX('11.Item_Table'!E:E,MATCH(G26,'11.Item_Table'!B:B,0)),IF(E26=1,G26&amp;" 골드","-"))</f>
        <v>다인 슬라이프</v>
      </c>
      <c r="G26" s="10">
        <v>11025</v>
      </c>
      <c r="H26" s="5">
        <v>1</v>
      </c>
    </row>
    <row r="27" spans="1:11" x14ac:dyDescent="0.3">
      <c r="A27" s="5">
        <v>26</v>
      </c>
      <c r="B27" s="5">
        <v>4</v>
      </c>
      <c r="C27" s="5">
        <v>4001</v>
      </c>
      <c r="D27" s="5">
        <v>3</v>
      </c>
      <c r="E27" s="5">
        <v>2</v>
      </c>
      <c r="F27" s="23" t="str">
        <f>IF(E27=2,INDEX('11.Item_Table'!E:E,MATCH(G27,'11.Item_Table'!B:B,0)),IF(E27=1,G27&amp;" 골드","-"))</f>
        <v>바보의 대검</v>
      </c>
      <c r="G27" s="10">
        <v>11026</v>
      </c>
      <c r="H27" s="5">
        <v>1</v>
      </c>
    </row>
    <row r="28" spans="1:11" x14ac:dyDescent="0.3">
      <c r="A28" s="5">
        <v>27</v>
      </c>
      <c r="B28" s="5">
        <v>4</v>
      </c>
      <c r="C28" s="5">
        <v>4001</v>
      </c>
      <c r="D28" s="5">
        <v>3</v>
      </c>
      <c r="E28" s="5">
        <v>2</v>
      </c>
      <c r="F28" s="23" t="str">
        <f>IF(E28=2,INDEX('11.Item_Table'!E:E,MATCH(G28,'11.Item_Table'!B:B,0)),IF(E28=1,G28&amp;" 골드","-"))</f>
        <v>엄청 큰 대검</v>
      </c>
      <c r="G28" s="10">
        <v>11027</v>
      </c>
      <c r="H28" s="5">
        <v>1</v>
      </c>
    </row>
    <row r="29" spans="1:11" x14ac:dyDescent="0.3">
      <c r="A29" s="5">
        <v>28</v>
      </c>
      <c r="B29" s="5">
        <v>4</v>
      </c>
      <c r="C29" s="5">
        <v>4001</v>
      </c>
      <c r="D29" s="5">
        <v>3</v>
      </c>
      <c r="E29" s="5">
        <v>2</v>
      </c>
      <c r="F29" s="23" t="str">
        <f>IF(E29=2,INDEX('11.Item_Table'!E:E,MATCH(G29,'11.Item_Table'!B:B,0)),IF(E29=1,G29&amp;" 골드","-"))</f>
        <v>쾌속의 스태프</v>
      </c>
      <c r="G29" s="10">
        <v>11028</v>
      </c>
      <c r="H29" s="5">
        <v>1</v>
      </c>
    </row>
    <row r="30" spans="1:11" x14ac:dyDescent="0.3">
      <c r="A30" s="5">
        <v>29</v>
      </c>
      <c r="B30" s="5">
        <v>4</v>
      </c>
      <c r="C30" s="5">
        <v>4001</v>
      </c>
      <c r="D30" s="5">
        <v>3</v>
      </c>
      <c r="E30" s="5">
        <v>2</v>
      </c>
      <c r="F30" s="23" t="str">
        <f>IF(E30=2,INDEX('11.Item_Table'!E:E,MATCH(G30,'11.Item_Table'!B:B,0)),IF(E30=1,G30&amp;" 골드","-"))</f>
        <v>바보의 스태프</v>
      </c>
      <c r="G30" s="10">
        <v>11029</v>
      </c>
      <c r="H30" s="5">
        <v>1</v>
      </c>
    </row>
    <row r="31" spans="1:11" x14ac:dyDescent="0.3">
      <c r="A31" s="5">
        <v>30</v>
      </c>
      <c r="B31" s="5">
        <v>4</v>
      </c>
      <c r="C31" s="5">
        <v>4001</v>
      </c>
      <c r="D31" s="5">
        <v>3</v>
      </c>
      <c r="E31" s="5">
        <v>2</v>
      </c>
      <c r="F31" s="23" t="str">
        <f>IF(E31=2,INDEX('11.Item_Table'!E:E,MATCH(G31,'11.Item_Table'!B:B,0)),IF(E31=1,G31&amp;" 골드","-"))</f>
        <v>영혼강탈자</v>
      </c>
      <c r="G31" s="10">
        <v>11030</v>
      </c>
      <c r="H31" s="5">
        <v>1</v>
      </c>
    </row>
    <row r="32" spans="1:11" x14ac:dyDescent="0.3">
      <c r="A32" s="5">
        <v>31</v>
      </c>
      <c r="B32" s="5">
        <v>4</v>
      </c>
      <c r="C32" s="5">
        <v>4001</v>
      </c>
      <c r="D32" s="5">
        <v>715</v>
      </c>
      <c r="E32" s="5">
        <v>2</v>
      </c>
      <c r="F32" s="23" t="str">
        <f>IF(E32=2,INDEX('11.Item_Table'!E:E,MATCH(G32,'11.Item_Table'!B:B,0)),IF(E32=1,G32&amp;" 골드","-"))</f>
        <v>천옷</v>
      </c>
      <c r="G32" s="10">
        <v>12001</v>
      </c>
      <c r="H32" s="5">
        <v>1</v>
      </c>
    </row>
    <row r="33" spans="1:8" x14ac:dyDescent="0.3">
      <c r="A33" s="5">
        <v>32</v>
      </c>
      <c r="B33" s="5">
        <v>4</v>
      </c>
      <c r="C33" s="5">
        <v>4001</v>
      </c>
      <c r="D33" s="5">
        <v>429</v>
      </c>
      <c r="E33" s="5">
        <v>2</v>
      </c>
      <c r="F33" s="23" t="str">
        <f>IF(E33=2,INDEX('11.Item_Table'!E:E,MATCH(G33,'11.Item_Table'!B:B,0)),IF(E33=1,G33&amp;" 골드","-"))</f>
        <v>가죽갑옷</v>
      </c>
      <c r="G33" s="10">
        <v>12002</v>
      </c>
      <c r="H33" s="5">
        <v>1</v>
      </c>
    </row>
    <row r="34" spans="1:8" x14ac:dyDescent="0.3">
      <c r="A34" s="5">
        <v>33</v>
      </c>
      <c r="B34" s="5">
        <v>4</v>
      </c>
      <c r="C34" s="5">
        <v>4001</v>
      </c>
      <c r="D34" s="5">
        <v>45</v>
      </c>
      <c r="E34" s="5">
        <v>2</v>
      </c>
      <c r="F34" s="23" t="str">
        <f>IF(E34=2,INDEX('11.Item_Table'!E:E,MATCH(G34,'11.Item_Table'!B:B,0)),IF(E34=1,G34&amp;" 골드","-"))</f>
        <v>철갑옷</v>
      </c>
      <c r="G34" s="10">
        <v>12003</v>
      </c>
      <c r="H34" s="5">
        <v>1</v>
      </c>
    </row>
    <row r="35" spans="1:8" x14ac:dyDescent="0.3">
      <c r="A35" s="5">
        <v>34</v>
      </c>
      <c r="B35" s="5">
        <v>4</v>
      </c>
      <c r="C35" s="5">
        <v>4001</v>
      </c>
      <c r="D35" s="5">
        <v>715</v>
      </c>
      <c r="E35" s="5">
        <v>2</v>
      </c>
      <c r="F35" s="23" t="str">
        <f>IF(E35=2,INDEX('11.Item_Table'!E:E,MATCH(G35,'11.Item_Table'!B:B,0)),IF(E35=1,G35&amp;" 골드","-"))</f>
        <v>천 모자</v>
      </c>
      <c r="G35" s="10">
        <v>12004</v>
      </c>
      <c r="H35" s="5">
        <v>1</v>
      </c>
    </row>
    <row r="36" spans="1:8" x14ac:dyDescent="0.3">
      <c r="A36" s="5">
        <v>35</v>
      </c>
      <c r="B36" s="5">
        <v>4</v>
      </c>
      <c r="C36" s="5">
        <v>4001</v>
      </c>
      <c r="D36" s="5">
        <v>429</v>
      </c>
      <c r="E36" s="5">
        <v>2</v>
      </c>
      <c r="F36" s="23" t="str">
        <f>IF(E36=2,INDEX('11.Item_Table'!E:E,MATCH(G36,'11.Item_Table'!B:B,0)),IF(E36=1,G36&amp;" 골드","-"))</f>
        <v>가죽 모자</v>
      </c>
      <c r="G36" s="10">
        <v>12005</v>
      </c>
      <c r="H36" s="5">
        <v>1</v>
      </c>
    </row>
    <row r="37" spans="1:8" x14ac:dyDescent="0.3">
      <c r="A37" s="5">
        <v>36</v>
      </c>
      <c r="B37" s="5">
        <v>4</v>
      </c>
      <c r="C37" s="5">
        <v>4001</v>
      </c>
      <c r="D37" s="5">
        <v>45</v>
      </c>
      <c r="E37" s="5">
        <v>2</v>
      </c>
      <c r="F37" s="23" t="str">
        <f>IF(E37=2,INDEX('11.Item_Table'!E:E,MATCH(G37,'11.Item_Table'!B:B,0)),IF(E37=1,G37&amp;" 골드","-"))</f>
        <v>철 투구</v>
      </c>
      <c r="G37" s="10">
        <v>12006</v>
      </c>
      <c r="H37" s="5">
        <v>1</v>
      </c>
    </row>
    <row r="38" spans="1:8" x14ac:dyDescent="0.3">
      <c r="A38" s="5">
        <v>37</v>
      </c>
      <c r="B38" s="5">
        <v>4</v>
      </c>
      <c r="C38" s="5">
        <v>4001</v>
      </c>
      <c r="D38" s="5">
        <v>45</v>
      </c>
      <c r="E38" s="5">
        <v>2</v>
      </c>
      <c r="F38" s="23" t="str">
        <f>IF(E38=2,INDEX('11.Item_Table'!E:E,MATCH(G38,'11.Item_Table'!B:B,0)),IF(E38=1,G38&amp;" 골드","-"))</f>
        <v>하급 생명 반지</v>
      </c>
      <c r="G38" s="10">
        <v>12007</v>
      </c>
      <c r="H38" s="5">
        <v>1</v>
      </c>
    </row>
    <row r="39" spans="1:8" x14ac:dyDescent="0.3">
      <c r="A39" s="5">
        <v>38</v>
      </c>
      <c r="B39" s="5">
        <v>4</v>
      </c>
      <c r="C39" s="5">
        <v>4001</v>
      </c>
      <c r="D39" s="5">
        <v>45</v>
      </c>
      <c r="E39" s="5">
        <v>2</v>
      </c>
      <c r="F39" s="23" t="str">
        <f>IF(E39=2,INDEX('11.Item_Table'!E:E,MATCH(G39,'11.Item_Table'!B:B,0)),IF(E39=1,G39&amp;" 골드","-"))</f>
        <v>하급 생명 목걸이</v>
      </c>
      <c r="G39" s="10">
        <v>12008</v>
      </c>
      <c r="H39" s="5">
        <v>1</v>
      </c>
    </row>
    <row r="40" spans="1:8" x14ac:dyDescent="0.3">
      <c r="A40" s="5">
        <v>39</v>
      </c>
      <c r="B40" s="5">
        <v>4</v>
      </c>
      <c r="C40" s="5">
        <v>4001</v>
      </c>
      <c r="D40" s="5">
        <v>45</v>
      </c>
      <c r="E40" s="5">
        <v>2</v>
      </c>
      <c r="F40" s="23" t="str">
        <f>IF(E40=2,INDEX('11.Item_Table'!E:E,MATCH(G40,'11.Item_Table'!B:B,0)),IF(E40=1,G40&amp;" 골드","-"))</f>
        <v>하급 공격 반지</v>
      </c>
      <c r="G40" s="10">
        <v>12009</v>
      </c>
      <c r="H40" s="5">
        <v>1</v>
      </c>
    </row>
    <row r="41" spans="1:8" x14ac:dyDescent="0.3">
      <c r="A41" s="5">
        <v>40</v>
      </c>
      <c r="B41" s="5">
        <v>4</v>
      </c>
      <c r="C41" s="5">
        <v>4001</v>
      </c>
      <c r="D41" s="5">
        <v>45</v>
      </c>
      <c r="E41" s="5">
        <v>2</v>
      </c>
      <c r="F41" s="23" t="str">
        <f>IF(E41=2,INDEX('11.Item_Table'!E:E,MATCH(G41,'11.Item_Table'!B:B,0)),IF(E41=1,G41&amp;" 골드","-"))</f>
        <v>하급 공격 목걸이</v>
      </c>
      <c r="G41" s="10">
        <v>12010</v>
      </c>
      <c r="H41" s="5">
        <v>1</v>
      </c>
    </row>
    <row r="42" spans="1:8" x14ac:dyDescent="0.3">
      <c r="A42" s="5">
        <v>41</v>
      </c>
      <c r="B42" s="5">
        <v>4</v>
      </c>
      <c r="C42" s="5">
        <v>4001</v>
      </c>
      <c r="D42" s="5">
        <v>25</v>
      </c>
      <c r="E42" s="5">
        <v>2</v>
      </c>
      <c r="F42" s="23" t="str">
        <f>IF(E42=2,INDEX('11.Item_Table'!E:E,MATCH(G42,'11.Item_Table'!B:B,0)),IF(E42=1,G42&amp;" 골드","-"))</f>
        <v>4랭크 임시 무기</v>
      </c>
      <c r="G42" s="5">
        <v>11031</v>
      </c>
      <c r="H42" s="5">
        <v>1</v>
      </c>
    </row>
    <row r="43" spans="1:8" x14ac:dyDescent="0.3">
      <c r="A43" s="5">
        <v>42</v>
      </c>
      <c r="B43" s="5">
        <v>4</v>
      </c>
      <c r="C43" s="5">
        <v>4001</v>
      </c>
      <c r="D43" s="5">
        <v>25</v>
      </c>
      <c r="E43" s="5">
        <v>2</v>
      </c>
      <c r="F43" s="23" t="str">
        <f>IF(E43=2,INDEX('11.Item_Table'!E:E,MATCH(G43,'11.Item_Table'!B:B,0)),IF(E43=1,G43&amp;" 골드","-"))</f>
        <v>4랭크 임시 무기</v>
      </c>
      <c r="G43" s="5">
        <v>11032</v>
      </c>
      <c r="H43" s="5">
        <v>1</v>
      </c>
    </row>
    <row r="44" spans="1:8" x14ac:dyDescent="0.3">
      <c r="A44" s="5">
        <v>43</v>
      </c>
      <c r="B44" s="5">
        <v>4</v>
      </c>
      <c r="C44" s="5">
        <v>4001</v>
      </c>
      <c r="D44" s="5">
        <v>25</v>
      </c>
      <c r="E44" s="5">
        <v>2</v>
      </c>
      <c r="F44" s="23" t="str">
        <f>IF(E44=2,INDEX('11.Item_Table'!E:E,MATCH(G44,'11.Item_Table'!B:B,0)),IF(E44=1,G44&amp;" 골드","-"))</f>
        <v>4랭크 임시 무기</v>
      </c>
      <c r="G44" s="5">
        <v>11033</v>
      </c>
      <c r="H44" s="5">
        <v>1</v>
      </c>
    </row>
    <row r="45" spans="1:8" x14ac:dyDescent="0.3">
      <c r="A45" s="5">
        <v>44</v>
      </c>
      <c r="B45" s="5">
        <v>4</v>
      </c>
      <c r="C45" s="5">
        <v>4001</v>
      </c>
      <c r="D45" s="5">
        <v>25</v>
      </c>
      <c r="E45" s="5">
        <v>2</v>
      </c>
      <c r="F45" s="23" t="str">
        <f>IF(E45=2,INDEX('11.Item_Table'!E:E,MATCH(G45,'11.Item_Table'!B:B,0)),IF(E45=1,G45&amp;" 골드","-"))</f>
        <v>4랭크 임시 무기</v>
      </c>
      <c r="G45" s="5">
        <v>11034</v>
      </c>
      <c r="H45" s="5">
        <v>1</v>
      </c>
    </row>
    <row r="46" spans="1:8" x14ac:dyDescent="0.3">
      <c r="A46" s="5">
        <v>45</v>
      </c>
      <c r="B46" s="5">
        <v>4</v>
      </c>
      <c r="C46" s="5">
        <v>4001</v>
      </c>
      <c r="D46" s="5">
        <v>25</v>
      </c>
      <c r="E46" s="5">
        <v>2</v>
      </c>
      <c r="F46" s="23" t="str">
        <f>IF(E46=2,INDEX('11.Item_Table'!E:E,MATCH(G46,'11.Item_Table'!B:B,0)),IF(E46=1,G46&amp;" 골드","-"))</f>
        <v>4랭크 임시 무기</v>
      </c>
      <c r="G46" s="5">
        <v>11035</v>
      </c>
      <c r="H46" s="5">
        <v>1</v>
      </c>
    </row>
    <row r="47" spans="1:8" x14ac:dyDescent="0.3">
      <c r="A47" s="5">
        <v>46</v>
      </c>
      <c r="B47" s="5">
        <v>4</v>
      </c>
      <c r="C47" s="5">
        <v>4001</v>
      </c>
      <c r="D47" s="5">
        <v>25</v>
      </c>
      <c r="E47" s="5">
        <v>2</v>
      </c>
      <c r="F47" s="23" t="str">
        <f>IF(E47=2,INDEX('11.Item_Table'!E:E,MATCH(G47,'11.Item_Table'!B:B,0)),IF(E47=1,G47&amp;" 골드","-"))</f>
        <v>4랭크 임시 무기</v>
      </c>
      <c r="G47" s="5">
        <v>11036</v>
      </c>
      <c r="H47" s="5">
        <v>1</v>
      </c>
    </row>
    <row r="48" spans="1:8" x14ac:dyDescent="0.3">
      <c r="A48" s="5">
        <v>47</v>
      </c>
      <c r="B48" s="5">
        <v>4</v>
      </c>
      <c r="C48" s="5">
        <v>4001</v>
      </c>
      <c r="D48" s="5">
        <v>25</v>
      </c>
      <c r="E48" s="5">
        <v>2</v>
      </c>
      <c r="F48" s="23" t="str">
        <f>IF(E48=2,INDEX('11.Item_Table'!E:E,MATCH(G48,'11.Item_Table'!B:B,0)),IF(E48=1,G48&amp;" 골드","-"))</f>
        <v>4랭크 임시 무기</v>
      </c>
      <c r="G48" s="5">
        <v>11037</v>
      </c>
      <c r="H48" s="5">
        <v>1</v>
      </c>
    </row>
    <row r="49" spans="1:15" x14ac:dyDescent="0.3">
      <c r="A49" s="5">
        <v>48</v>
      </c>
      <c r="B49" s="5">
        <v>4</v>
      </c>
      <c r="C49" s="5">
        <v>4001</v>
      </c>
      <c r="D49" s="5">
        <v>25</v>
      </c>
      <c r="E49" s="5">
        <v>2</v>
      </c>
      <c r="F49" s="23" t="str">
        <f>IF(E49=2,INDEX('11.Item_Table'!E:E,MATCH(G49,'11.Item_Table'!B:B,0)),IF(E49=1,G49&amp;" 골드","-"))</f>
        <v>4랭크 임시 무기</v>
      </c>
      <c r="G49" s="5">
        <v>11038</v>
      </c>
      <c r="H49" s="5">
        <v>1</v>
      </c>
    </row>
    <row r="50" spans="1:15" x14ac:dyDescent="0.3">
      <c r="A50" s="5">
        <v>49</v>
      </c>
      <c r="B50" s="5">
        <v>4</v>
      </c>
      <c r="C50" s="5">
        <v>4001</v>
      </c>
      <c r="D50" s="5">
        <v>25</v>
      </c>
      <c r="E50" s="5">
        <v>2</v>
      </c>
      <c r="F50" s="23" t="str">
        <f>IF(E50=2,INDEX('11.Item_Table'!E:E,MATCH(G50,'11.Item_Table'!B:B,0)),IF(E50=1,G50&amp;" 골드","-"))</f>
        <v>4랭크 임시 무기</v>
      </c>
      <c r="G50" s="5">
        <v>11039</v>
      </c>
      <c r="H50" s="5">
        <v>1</v>
      </c>
    </row>
    <row r="51" spans="1:15" x14ac:dyDescent="0.3">
      <c r="A51" s="5">
        <v>50</v>
      </c>
      <c r="B51" s="5">
        <v>4</v>
      </c>
      <c r="C51" s="5">
        <v>4001</v>
      </c>
      <c r="D51" s="5">
        <v>25</v>
      </c>
      <c r="E51" s="5">
        <v>2</v>
      </c>
      <c r="F51" s="23" t="str">
        <f>IF(E51=2,INDEX('11.Item_Table'!E:E,MATCH(G51,'11.Item_Table'!B:B,0)),IF(E51=1,G51&amp;" 골드","-"))</f>
        <v>4랭크 임시 무기</v>
      </c>
      <c r="G51" s="5">
        <v>11040</v>
      </c>
      <c r="H51" s="5">
        <v>1</v>
      </c>
    </row>
    <row r="52" spans="1:15" x14ac:dyDescent="0.3">
      <c r="A52" s="5">
        <v>51</v>
      </c>
      <c r="B52" s="5">
        <v>4</v>
      </c>
      <c r="C52" s="5">
        <v>4001</v>
      </c>
      <c r="D52" s="5">
        <v>1001</v>
      </c>
      <c r="E52" s="5">
        <v>2</v>
      </c>
      <c r="F52" s="23" t="str">
        <f>IF(E52=2,INDEX('11.Item_Table'!E:E,MATCH(G52,'11.Item_Table'!B:B,0)),IF(E52=1,G52&amp;" 골드","-"))</f>
        <v>체력 회복 물약</v>
      </c>
      <c r="G52" s="5">
        <v>20001</v>
      </c>
      <c r="H52" s="5">
        <v>30</v>
      </c>
    </row>
    <row r="53" spans="1:15" x14ac:dyDescent="0.3">
      <c r="A53" s="5">
        <v>52</v>
      </c>
      <c r="B53" s="5">
        <v>4</v>
      </c>
      <c r="C53" s="5">
        <v>4001</v>
      </c>
      <c r="D53" s="5">
        <v>201</v>
      </c>
      <c r="E53" s="5">
        <v>2</v>
      </c>
      <c r="F53" s="23" t="str">
        <f>IF(E53=2,INDEX('11.Item_Table'!E:E,MATCH(G53,'11.Item_Table'!B:B,0)),IF(E53=1,G53&amp;" 골드","-"))</f>
        <v>목검, 조잡한 검, 철제 검</v>
      </c>
      <c r="G53" s="5">
        <v>30001</v>
      </c>
      <c r="H53" s="5">
        <v>1</v>
      </c>
      <c r="J53" s="7" t="s">
        <v>598</v>
      </c>
      <c r="L53" s="7" t="s">
        <v>599</v>
      </c>
      <c r="M53" s="7" t="s">
        <v>600</v>
      </c>
      <c r="N53" s="7" t="s">
        <v>601</v>
      </c>
      <c r="O53" s="7" t="s">
        <v>602</v>
      </c>
    </row>
    <row r="54" spans="1:15" x14ac:dyDescent="0.3">
      <c r="A54" s="5">
        <v>53</v>
      </c>
      <c r="B54" s="5">
        <v>1</v>
      </c>
      <c r="C54" s="5">
        <v>1101</v>
      </c>
      <c r="D54" s="5">
        <v>91</v>
      </c>
      <c r="E54" s="5">
        <v>2</v>
      </c>
      <c r="F54" s="23" t="str">
        <f>IF(E54=2,INDEX('11.Item_Table'!E:E,MATCH(G54,'11.Item_Table'!B:B,0)),IF(E54=1,G54&amp;" 골드","-"))</f>
        <v>목검</v>
      </c>
      <c r="G54" s="10">
        <v>11001</v>
      </c>
      <c r="H54" s="5">
        <v>1</v>
      </c>
      <c r="J54" s="7">
        <v>1</v>
      </c>
      <c r="L54" s="7">
        <v>1</v>
      </c>
      <c r="M54" s="7">
        <v>11</v>
      </c>
      <c r="N54" s="7">
        <v>1001</v>
      </c>
      <c r="O54" s="7">
        <v>91</v>
      </c>
    </row>
    <row r="55" spans="1:15" x14ac:dyDescent="0.3">
      <c r="A55" s="5">
        <v>54</v>
      </c>
      <c r="B55" s="5">
        <v>1</v>
      </c>
      <c r="C55" s="5">
        <v>1101</v>
      </c>
      <c r="D55" s="5">
        <v>102</v>
      </c>
      <c r="E55" s="5">
        <v>2</v>
      </c>
      <c r="F55" s="23" t="str">
        <f>IF(E55=2,INDEX('11.Item_Table'!E:E,MATCH(G55,'11.Item_Table'!B:B,0)),IF(E55=1,G55&amp;" 골드","-"))</f>
        <v>조잡한 검</v>
      </c>
      <c r="G55" s="10">
        <v>11002</v>
      </c>
      <c r="H55" s="5">
        <v>1</v>
      </c>
      <c r="J55" s="7">
        <v>2</v>
      </c>
      <c r="L55" s="7">
        <v>2</v>
      </c>
      <c r="M55" s="7">
        <v>7</v>
      </c>
      <c r="N55" s="7">
        <v>714</v>
      </c>
      <c r="O55" s="7">
        <v>102</v>
      </c>
    </row>
    <row r="56" spans="1:15" x14ac:dyDescent="0.3">
      <c r="A56" s="5">
        <v>55</v>
      </c>
      <c r="B56" s="5">
        <v>1</v>
      </c>
      <c r="C56" s="5">
        <v>1101</v>
      </c>
      <c r="D56" s="5">
        <v>39</v>
      </c>
      <c r="E56" s="5">
        <v>2</v>
      </c>
      <c r="F56" s="23" t="str">
        <f>IF(E56=2,INDEX('11.Item_Table'!E:E,MATCH(G56,'11.Item_Table'!B:B,0)),IF(E56=1,G56&amp;" 골드","-"))</f>
        <v>철제 검</v>
      </c>
      <c r="G56" s="10">
        <v>11003</v>
      </c>
      <c r="H56" s="5">
        <v>1</v>
      </c>
      <c r="J56" s="7">
        <v>3</v>
      </c>
      <c r="L56" s="7">
        <v>3</v>
      </c>
      <c r="M56" s="7">
        <v>9</v>
      </c>
      <c r="N56" s="7">
        <v>351</v>
      </c>
      <c r="O56" s="7">
        <v>39</v>
      </c>
    </row>
    <row r="57" spans="1:15" x14ac:dyDescent="0.3">
      <c r="A57" s="5">
        <v>56</v>
      </c>
      <c r="B57" s="5">
        <v>1</v>
      </c>
      <c r="C57" s="5">
        <v>1101</v>
      </c>
      <c r="D57" s="5">
        <v>91</v>
      </c>
      <c r="E57" s="5">
        <v>2</v>
      </c>
      <c r="F57" s="23" t="str">
        <f>IF(E57=2,INDEX('11.Item_Table'!E:E,MATCH(G57,'11.Item_Table'!B:B,0)),IF(E57=1,G57&amp;" 골드","-"))</f>
        <v>목궁</v>
      </c>
      <c r="G57" s="10">
        <v>11004</v>
      </c>
      <c r="H57" s="5">
        <v>1</v>
      </c>
      <c r="J57" s="7">
        <v>1</v>
      </c>
      <c r="L57" s="7">
        <v>4</v>
      </c>
      <c r="M57" s="7">
        <v>6</v>
      </c>
      <c r="N57" s="7">
        <v>114</v>
      </c>
      <c r="O57" s="7">
        <v>19</v>
      </c>
    </row>
    <row r="58" spans="1:15" x14ac:dyDescent="0.3">
      <c r="A58" s="5">
        <v>57</v>
      </c>
      <c r="B58" s="5">
        <v>1</v>
      </c>
      <c r="C58" s="5">
        <v>1101</v>
      </c>
      <c r="D58" s="5">
        <v>102</v>
      </c>
      <c r="E58" s="5">
        <v>2</v>
      </c>
      <c r="F58" s="23" t="str">
        <f>IF(E58=2,INDEX('11.Item_Table'!E:E,MATCH(G58,'11.Item_Table'!B:B,0)),IF(E58=1,G58&amp;" 골드","-"))</f>
        <v>조잡한 활</v>
      </c>
      <c r="G58" s="10">
        <v>11005</v>
      </c>
      <c r="H58" s="5">
        <v>1</v>
      </c>
      <c r="J58" s="7">
        <v>2</v>
      </c>
      <c r="L58" s="7">
        <v>5</v>
      </c>
      <c r="M58" s="7">
        <v>17</v>
      </c>
      <c r="N58" s="7">
        <v>51</v>
      </c>
      <c r="O58" s="7">
        <v>3</v>
      </c>
    </row>
    <row r="59" spans="1:15" x14ac:dyDescent="0.3">
      <c r="A59" s="5">
        <v>58</v>
      </c>
      <c r="B59" s="5">
        <v>1</v>
      </c>
      <c r="C59" s="5">
        <v>1101</v>
      </c>
      <c r="D59" s="5">
        <v>39</v>
      </c>
      <c r="E59" s="5">
        <v>2</v>
      </c>
      <c r="F59" s="23" t="str">
        <f>IF(E59=2,INDEX('11.Item_Table'!E:E,MATCH(G59,'11.Item_Table'!B:B,0)),IF(E59=1,G59&amp;" 골드","-"))</f>
        <v>각궁</v>
      </c>
      <c r="G59" s="10">
        <v>11006</v>
      </c>
      <c r="H59" s="5">
        <v>1</v>
      </c>
      <c r="J59" s="7">
        <v>3</v>
      </c>
      <c r="L59" s="7">
        <v>0</v>
      </c>
      <c r="M59" s="7">
        <v>6</v>
      </c>
      <c r="N59" s="7">
        <v>702</v>
      </c>
      <c r="O59" s="7">
        <v>117</v>
      </c>
    </row>
    <row r="60" spans="1:15" x14ac:dyDescent="0.3">
      <c r="A60" s="5">
        <v>59</v>
      </c>
      <c r="B60" s="5">
        <v>1</v>
      </c>
      <c r="C60" s="5">
        <v>1101</v>
      </c>
      <c r="D60" s="5">
        <v>91</v>
      </c>
      <c r="E60" s="5">
        <v>2</v>
      </c>
      <c r="F60" s="23" t="str">
        <f>IF(E60=2,INDEX('11.Item_Table'!E:E,MATCH(G60,'11.Item_Table'!B:B,0)),IF(E60=1,G60&amp;" 골드","-"))</f>
        <v>나무 단검</v>
      </c>
      <c r="G60" s="10">
        <v>11007</v>
      </c>
      <c r="H60" s="5">
        <v>1</v>
      </c>
      <c r="J60" s="7">
        <v>1</v>
      </c>
      <c r="L60" s="7" t="s">
        <v>165</v>
      </c>
      <c r="M60" s="7">
        <v>3</v>
      </c>
      <c r="N60" s="7">
        <v>7067</v>
      </c>
      <c r="O60" s="7">
        <v>2355.6666666666665</v>
      </c>
    </row>
    <row r="61" spans="1:15" x14ac:dyDescent="0.3">
      <c r="A61" s="5">
        <v>60</v>
      </c>
      <c r="B61" s="5">
        <v>1</v>
      </c>
      <c r="C61" s="5">
        <v>1101</v>
      </c>
      <c r="D61" s="5">
        <v>102</v>
      </c>
      <c r="E61" s="5">
        <v>2</v>
      </c>
      <c r="F61" s="23" t="str">
        <f>IF(E61=2,INDEX('11.Item_Table'!E:E,MATCH(G61,'11.Item_Table'!B:B,0)),IF(E61=1,G61&amp;" 골드","-"))</f>
        <v>조잡한 단검</v>
      </c>
      <c r="G61" s="10">
        <v>11008</v>
      </c>
      <c r="H61" s="5">
        <v>1</v>
      </c>
      <c r="J61" s="7">
        <v>2</v>
      </c>
      <c r="N61" s="7">
        <v>10000</v>
      </c>
    </row>
    <row r="62" spans="1:15" x14ac:dyDescent="0.3">
      <c r="A62" s="5">
        <v>61</v>
      </c>
      <c r="B62" s="5">
        <v>1</v>
      </c>
      <c r="C62" s="5">
        <v>1101</v>
      </c>
      <c r="D62" s="5">
        <v>39</v>
      </c>
      <c r="E62" s="5">
        <v>2</v>
      </c>
      <c r="F62" s="23" t="str">
        <f>IF(E62=2,INDEX('11.Item_Table'!E:E,MATCH(G62,'11.Item_Table'!B:B,0)),IF(E62=1,G62&amp;" 골드","-"))</f>
        <v>철제 단검</v>
      </c>
      <c r="G62" s="10">
        <v>11009</v>
      </c>
      <c r="H62" s="5">
        <v>1</v>
      </c>
      <c r="J62" s="7">
        <v>3</v>
      </c>
    </row>
    <row r="63" spans="1:15" x14ac:dyDescent="0.3">
      <c r="A63" s="5">
        <v>62</v>
      </c>
      <c r="B63" s="5">
        <v>1</v>
      </c>
      <c r="C63" s="5">
        <v>1101</v>
      </c>
      <c r="D63" s="5">
        <v>91</v>
      </c>
      <c r="E63" s="5">
        <v>2</v>
      </c>
      <c r="F63" s="23" t="str">
        <f>IF(E63=2,INDEX('11.Item_Table'!E:E,MATCH(G63,'11.Item_Table'!B:B,0)),IF(E63=1,G63&amp;" 골드","-"))</f>
        <v>나무 대검</v>
      </c>
      <c r="G63" s="10">
        <v>11010</v>
      </c>
      <c r="H63" s="5">
        <v>1</v>
      </c>
      <c r="J63" s="7">
        <v>1</v>
      </c>
    </row>
    <row r="64" spans="1:15" x14ac:dyDescent="0.3">
      <c r="A64" s="5">
        <v>63</v>
      </c>
      <c r="B64" s="5">
        <v>1</v>
      </c>
      <c r="C64" s="5">
        <v>1101</v>
      </c>
      <c r="D64" s="5">
        <v>102</v>
      </c>
      <c r="E64" s="5">
        <v>2</v>
      </c>
      <c r="F64" s="23" t="str">
        <f>IF(E64=2,INDEX('11.Item_Table'!E:E,MATCH(G64,'11.Item_Table'!B:B,0)),IF(E64=1,G64&amp;" 골드","-"))</f>
        <v>조잡한 대검</v>
      </c>
      <c r="G64" s="10">
        <v>11011</v>
      </c>
      <c r="H64" s="5">
        <v>1</v>
      </c>
      <c r="J64" s="7">
        <v>2</v>
      </c>
    </row>
    <row r="65" spans="1:10" x14ac:dyDescent="0.3">
      <c r="A65" s="5">
        <v>64</v>
      </c>
      <c r="B65" s="5">
        <v>1</v>
      </c>
      <c r="C65" s="5">
        <v>1101</v>
      </c>
      <c r="D65" s="5">
        <v>39</v>
      </c>
      <c r="E65" s="5">
        <v>2</v>
      </c>
      <c r="F65" s="23" t="str">
        <f>IF(E65=2,INDEX('11.Item_Table'!E:E,MATCH(G65,'11.Item_Table'!B:B,0)),IF(E65=1,G65&amp;" 골드","-"))</f>
        <v>철제 대검</v>
      </c>
      <c r="G65" s="10">
        <v>11012</v>
      </c>
      <c r="H65" s="5">
        <v>1</v>
      </c>
      <c r="J65" s="7">
        <v>3</v>
      </c>
    </row>
    <row r="66" spans="1:10" x14ac:dyDescent="0.3">
      <c r="A66" s="5">
        <v>65</v>
      </c>
      <c r="B66" s="5">
        <v>1</v>
      </c>
      <c r="C66" s="5">
        <v>1101</v>
      </c>
      <c r="D66" s="5">
        <v>91</v>
      </c>
      <c r="E66" s="5">
        <v>2</v>
      </c>
      <c r="F66" s="23" t="str">
        <f>IF(E66=2,INDEX('11.Item_Table'!E:E,MATCH(G66,'11.Item_Table'!B:B,0)),IF(E66=1,G66&amp;" 골드","-"))</f>
        <v>나무 스태프</v>
      </c>
      <c r="G66" s="10">
        <v>11013</v>
      </c>
      <c r="H66" s="5">
        <v>1</v>
      </c>
      <c r="J66" s="7">
        <v>1</v>
      </c>
    </row>
    <row r="67" spans="1:10" x14ac:dyDescent="0.3">
      <c r="A67" s="5">
        <v>66</v>
      </c>
      <c r="B67" s="5">
        <v>1</v>
      </c>
      <c r="C67" s="5">
        <v>1101</v>
      </c>
      <c r="D67" s="5">
        <v>102</v>
      </c>
      <c r="E67" s="5">
        <v>2</v>
      </c>
      <c r="F67" s="23" t="str">
        <f>IF(E67=2,INDEX('11.Item_Table'!E:E,MATCH(G67,'11.Item_Table'!B:B,0)),IF(E67=1,G67&amp;" 골드","-"))</f>
        <v>조잡한 스태프</v>
      </c>
      <c r="G67" s="10">
        <v>11014</v>
      </c>
      <c r="H67" s="5">
        <v>1</v>
      </c>
      <c r="J67" s="7">
        <v>2</v>
      </c>
    </row>
    <row r="68" spans="1:10" x14ac:dyDescent="0.3">
      <c r="A68" s="5">
        <v>67</v>
      </c>
      <c r="B68" s="5">
        <v>1</v>
      </c>
      <c r="C68" s="5">
        <v>1101</v>
      </c>
      <c r="D68" s="5">
        <v>39</v>
      </c>
      <c r="E68" s="5">
        <v>2</v>
      </c>
      <c r="F68" s="23" t="str">
        <f>IF(E68=2,INDEX('11.Item_Table'!E:E,MATCH(G68,'11.Item_Table'!B:B,0)),IF(E68=1,G68&amp;" 골드","-"))</f>
        <v>고목 스태프</v>
      </c>
      <c r="G68" s="10">
        <v>11015</v>
      </c>
      <c r="H68" s="5">
        <v>1</v>
      </c>
      <c r="J68" s="7">
        <v>3</v>
      </c>
    </row>
    <row r="69" spans="1:10" x14ac:dyDescent="0.3">
      <c r="A69" s="5">
        <v>68</v>
      </c>
      <c r="B69" s="5">
        <v>1</v>
      </c>
      <c r="C69" s="5">
        <v>1101</v>
      </c>
      <c r="D69" s="5">
        <v>3</v>
      </c>
      <c r="E69" s="5">
        <v>2</v>
      </c>
      <c r="F69" s="23" t="str">
        <f>IF(E69=2,INDEX('11.Item_Table'!E:E,MATCH(G69,'11.Item_Table'!B:B,0)),IF(E69=1,G69&amp;" 골드","-"))</f>
        <v>간장</v>
      </c>
      <c r="G69" s="10">
        <v>11016</v>
      </c>
      <c r="H69" s="5">
        <v>1</v>
      </c>
      <c r="J69" s="7">
        <v>5</v>
      </c>
    </row>
    <row r="70" spans="1:10" x14ac:dyDescent="0.3">
      <c r="A70" s="5">
        <v>69</v>
      </c>
      <c r="B70" s="5">
        <v>1</v>
      </c>
      <c r="C70" s="5">
        <v>1101</v>
      </c>
      <c r="D70" s="5">
        <v>3</v>
      </c>
      <c r="E70" s="5">
        <v>2</v>
      </c>
      <c r="F70" s="23" t="str">
        <f>IF(E70=2,INDEX('11.Item_Table'!E:E,MATCH(G70,'11.Item_Table'!B:B,0)),IF(E70=1,G70&amp;" 골드","-"))</f>
        <v>막야</v>
      </c>
      <c r="G70" s="10">
        <v>11017</v>
      </c>
      <c r="H70" s="5">
        <v>1</v>
      </c>
      <c r="J70" s="7">
        <v>5</v>
      </c>
    </row>
    <row r="71" spans="1:10" x14ac:dyDescent="0.3">
      <c r="A71" s="5">
        <v>70</v>
      </c>
      <c r="B71" s="5">
        <v>1</v>
      </c>
      <c r="C71" s="5">
        <v>1101</v>
      </c>
      <c r="D71" s="5">
        <v>3</v>
      </c>
      <c r="E71" s="5">
        <v>2</v>
      </c>
      <c r="F71" s="23" t="str">
        <f>IF(E71=2,INDEX('11.Item_Table'!E:E,MATCH(G71,'11.Item_Table'!B:B,0)),IF(E71=1,G71&amp;" 골드","-"))</f>
        <v>팔콘 블레이드</v>
      </c>
      <c r="G71" s="10">
        <v>11018</v>
      </c>
      <c r="H71" s="5">
        <v>1</v>
      </c>
      <c r="J71" s="7">
        <v>5</v>
      </c>
    </row>
    <row r="72" spans="1:10" x14ac:dyDescent="0.3">
      <c r="A72" s="5">
        <v>71</v>
      </c>
      <c r="B72" s="5">
        <v>1</v>
      </c>
      <c r="C72" s="5">
        <v>1101</v>
      </c>
      <c r="D72" s="5">
        <v>3</v>
      </c>
      <c r="E72" s="5">
        <v>2</v>
      </c>
      <c r="F72" s="23" t="str">
        <f>IF(E72=2,INDEX('11.Item_Table'!E:E,MATCH(G72,'11.Item_Table'!B:B,0)),IF(E72=1,G72&amp;" 골드","-"))</f>
        <v>바보의 활</v>
      </c>
      <c r="G72" s="10">
        <v>11019</v>
      </c>
      <c r="H72" s="5">
        <v>1</v>
      </c>
      <c r="J72" s="7">
        <v>5</v>
      </c>
    </row>
    <row r="73" spans="1:10" x14ac:dyDescent="0.3">
      <c r="A73" s="5">
        <v>72</v>
      </c>
      <c r="B73" s="5">
        <v>1</v>
      </c>
      <c r="C73" s="5">
        <v>1101</v>
      </c>
      <c r="D73" s="5">
        <v>3</v>
      </c>
      <c r="E73" s="5">
        <v>2</v>
      </c>
      <c r="F73" s="23" t="str">
        <f>IF(E73=2,INDEX('11.Item_Table'!E:E,MATCH(G73,'11.Item_Table'!B:B,0)),IF(E73=1,G73&amp;" 골드","-"))</f>
        <v>듀얼 쇼크</v>
      </c>
      <c r="G73" s="10">
        <v>11020</v>
      </c>
      <c r="H73" s="5">
        <v>1</v>
      </c>
      <c r="J73" s="7">
        <v>5</v>
      </c>
    </row>
    <row r="74" spans="1:10" x14ac:dyDescent="0.3">
      <c r="A74" s="5">
        <v>73</v>
      </c>
      <c r="B74" s="5">
        <v>1</v>
      </c>
      <c r="C74" s="5">
        <v>1101</v>
      </c>
      <c r="D74" s="5">
        <v>3</v>
      </c>
      <c r="E74" s="5">
        <v>2</v>
      </c>
      <c r="F74" s="23" t="str">
        <f>IF(E74=2,INDEX('11.Item_Table'!E:E,MATCH(G74,'11.Item_Table'!B:B,0)),IF(E74=1,G74&amp;" 골드","-"))</f>
        <v>휴대용 발리스타</v>
      </c>
      <c r="G74" s="10">
        <v>11021</v>
      </c>
      <c r="H74" s="5">
        <v>1</v>
      </c>
      <c r="J74" s="7">
        <v>5</v>
      </c>
    </row>
    <row r="75" spans="1:10" x14ac:dyDescent="0.3">
      <c r="A75" s="5">
        <v>74</v>
      </c>
      <c r="B75" s="5">
        <v>1</v>
      </c>
      <c r="C75" s="5">
        <v>1101</v>
      </c>
      <c r="D75" s="5">
        <v>3</v>
      </c>
      <c r="E75" s="5">
        <v>2</v>
      </c>
      <c r="F75" s="23" t="str">
        <f>IF(E75=2,INDEX('11.Item_Table'!E:E,MATCH(G75,'11.Item_Table'!B:B,0)),IF(E75=1,G75&amp;" 골드","-"))</f>
        <v>포이즌 나이프</v>
      </c>
      <c r="G75" s="10">
        <v>11022</v>
      </c>
      <c r="H75" s="5">
        <v>1</v>
      </c>
      <c r="J75" s="7">
        <v>5</v>
      </c>
    </row>
    <row r="76" spans="1:10" x14ac:dyDescent="0.3">
      <c r="A76" s="5">
        <v>75</v>
      </c>
      <c r="B76" s="5">
        <v>1</v>
      </c>
      <c r="C76" s="5">
        <v>1101</v>
      </c>
      <c r="D76" s="5">
        <v>3</v>
      </c>
      <c r="E76" s="5">
        <v>2</v>
      </c>
      <c r="F76" s="23" t="str">
        <f>IF(E76=2,INDEX('11.Item_Table'!E:E,MATCH(G76,'11.Item_Table'!B:B,0)),IF(E76=1,G76&amp;" 골드","-"))</f>
        <v>쥐의 왕</v>
      </c>
      <c r="G76" s="10">
        <v>11023</v>
      </c>
      <c r="H76" s="5">
        <v>1</v>
      </c>
      <c r="J76" s="7">
        <v>5</v>
      </c>
    </row>
    <row r="77" spans="1:10" x14ac:dyDescent="0.3">
      <c r="A77" s="5">
        <v>76</v>
      </c>
      <c r="B77" s="5">
        <v>1</v>
      </c>
      <c r="C77" s="5">
        <v>1101</v>
      </c>
      <c r="D77" s="5">
        <v>3</v>
      </c>
      <c r="E77" s="5">
        <v>2</v>
      </c>
      <c r="F77" s="23" t="str">
        <f>IF(E77=2,INDEX('11.Item_Table'!E:E,MATCH(G77,'11.Item_Table'!B:B,0)),IF(E77=1,G77&amp;" 골드","-"))</f>
        <v>럭키 나이프</v>
      </c>
      <c r="G77" s="10">
        <v>11024</v>
      </c>
      <c r="H77" s="5">
        <v>1</v>
      </c>
      <c r="J77" s="7">
        <v>5</v>
      </c>
    </row>
    <row r="78" spans="1:10" x14ac:dyDescent="0.3">
      <c r="A78" s="5">
        <v>77</v>
      </c>
      <c r="B78" s="5">
        <v>1</v>
      </c>
      <c r="C78" s="5">
        <v>1101</v>
      </c>
      <c r="D78" s="5">
        <v>3</v>
      </c>
      <c r="E78" s="5">
        <v>2</v>
      </c>
      <c r="F78" s="23" t="str">
        <f>IF(E78=2,INDEX('11.Item_Table'!E:E,MATCH(G78,'11.Item_Table'!B:B,0)),IF(E78=1,G78&amp;" 골드","-"))</f>
        <v>다인 슬라이프</v>
      </c>
      <c r="G78" s="10">
        <v>11025</v>
      </c>
      <c r="H78" s="5">
        <v>1</v>
      </c>
      <c r="J78" s="7">
        <v>5</v>
      </c>
    </row>
    <row r="79" spans="1:10" x14ac:dyDescent="0.3">
      <c r="A79" s="5">
        <v>78</v>
      </c>
      <c r="B79" s="5">
        <v>1</v>
      </c>
      <c r="C79" s="5">
        <v>1101</v>
      </c>
      <c r="D79" s="5">
        <v>3</v>
      </c>
      <c r="E79" s="5">
        <v>2</v>
      </c>
      <c r="F79" s="23" t="str">
        <f>IF(E79=2,INDEX('11.Item_Table'!E:E,MATCH(G79,'11.Item_Table'!B:B,0)),IF(E79=1,G79&amp;" 골드","-"))</f>
        <v>바보의 대검</v>
      </c>
      <c r="G79" s="10">
        <v>11026</v>
      </c>
      <c r="H79" s="5">
        <v>1</v>
      </c>
      <c r="J79" s="7">
        <v>5</v>
      </c>
    </row>
    <row r="80" spans="1:10" x14ac:dyDescent="0.3">
      <c r="A80" s="5">
        <v>79</v>
      </c>
      <c r="B80" s="5">
        <v>1</v>
      </c>
      <c r="C80" s="5">
        <v>1101</v>
      </c>
      <c r="D80" s="5">
        <v>3</v>
      </c>
      <c r="E80" s="5">
        <v>2</v>
      </c>
      <c r="F80" s="23" t="str">
        <f>IF(E80=2,INDEX('11.Item_Table'!E:E,MATCH(G80,'11.Item_Table'!B:B,0)),IF(E80=1,G80&amp;" 골드","-"))</f>
        <v>엄청 큰 대검</v>
      </c>
      <c r="G80" s="10">
        <v>11027</v>
      </c>
      <c r="H80" s="5">
        <v>1</v>
      </c>
      <c r="J80" s="7">
        <v>5</v>
      </c>
    </row>
    <row r="81" spans="1:10" x14ac:dyDescent="0.3">
      <c r="A81" s="5">
        <v>80</v>
      </c>
      <c r="B81" s="5">
        <v>1</v>
      </c>
      <c r="C81" s="5">
        <v>1101</v>
      </c>
      <c r="D81" s="5">
        <v>3</v>
      </c>
      <c r="E81" s="5">
        <v>2</v>
      </c>
      <c r="F81" s="23" t="str">
        <f>IF(E81=2,INDEX('11.Item_Table'!E:E,MATCH(G81,'11.Item_Table'!B:B,0)),IF(E81=1,G81&amp;" 골드","-"))</f>
        <v>쾌속의 스태프</v>
      </c>
      <c r="G81" s="10">
        <v>11028</v>
      </c>
      <c r="H81" s="5">
        <v>1</v>
      </c>
      <c r="J81" s="7">
        <v>5</v>
      </c>
    </row>
    <row r="82" spans="1:10" x14ac:dyDescent="0.3">
      <c r="A82" s="5">
        <v>81</v>
      </c>
      <c r="B82" s="5">
        <v>1</v>
      </c>
      <c r="C82" s="5">
        <v>1101</v>
      </c>
      <c r="D82" s="5">
        <v>3</v>
      </c>
      <c r="E82" s="5">
        <v>2</v>
      </c>
      <c r="F82" s="23" t="str">
        <f>IF(E82=2,INDEX('11.Item_Table'!E:E,MATCH(G82,'11.Item_Table'!B:B,0)),IF(E82=1,G82&amp;" 골드","-"))</f>
        <v>바보의 스태프</v>
      </c>
      <c r="G82" s="10">
        <v>11029</v>
      </c>
      <c r="H82" s="5">
        <v>1</v>
      </c>
      <c r="J82" s="7">
        <v>5</v>
      </c>
    </row>
    <row r="83" spans="1:10" x14ac:dyDescent="0.3">
      <c r="A83" s="5">
        <v>82</v>
      </c>
      <c r="B83" s="5">
        <v>1</v>
      </c>
      <c r="C83" s="5">
        <v>1101</v>
      </c>
      <c r="D83" s="5">
        <v>3</v>
      </c>
      <c r="E83" s="5">
        <v>2</v>
      </c>
      <c r="F83" s="23" t="str">
        <f>IF(E83=2,INDEX('11.Item_Table'!E:E,MATCH(G83,'11.Item_Table'!B:B,0)),IF(E83=1,G83&amp;" 골드","-"))</f>
        <v>영혼강탈자</v>
      </c>
      <c r="G83" s="10">
        <v>11030</v>
      </c>
      <c r="H83" s="5">
        <v>1</v>
      </c>
      <c r="J83" s="7">
        <v>5</v>
      </c>
    </row>
    <row r="84" spans="1:10" x14ac:dyDescent="0.3">
      <c r="A84" s="5">
        <v>83</v>
      </c>
      <c r="B84" s="5">
        <v>1</v>
      </c>
      <c r="C84" s="5">
        <v>1101</v>
      </c>
      <c r="D84" s="5">
        <v>91</v>
      </c>
      <c r="E84" s="5">
        <v>2</v>
      </c>
      <c r="F84" s="23" t="str">
        <f>IF(E84=2,INDEX('11.Item_Table'!E:E,MATCH(G84,'11.Item_Table'!B:B,0)),IF(E84=1,G84&amp;" 골드","-"))</f>
        <v>천옷</v>
      </c>
      <c r="G84" s="10">
        <v>12001</v>
      </c>
      <c r="H84" s="5">
        <v>1</v>
      </c>
      <c r="J84" s="7">
        <v>1</v>
      </c>
    </row>
    <row r="85" spans="1:10" x14ac:dyDescent="0.3">
      <c r="A85" s="5">
        <v>84</v>
      </c>
      <c r="B85" s="5">
        <v>1</v>
      </c>
      <c r="C85" s="5">
        <v>1101</v>
      </c>
      <c r="D85" s="5">
        <v>102</v>
      </c>
      <c r="E85" s="5">
        <v>2</v>
      </c>
      <c r="F85" s="23" t="str">
        <f>IF(E85=2,INDEX('11.Item_Table'!E:E,MATCH(G85,'11.Item_Table'!B:B,0)),IF(E85=1,G85&amp;" 골드","-"))</f>
        <v>가죽갑옷</v>
      </c>
      <c r="G85" s="10">
        <v>12002</v>
      </c>
      <c r="H85" s="5">
        <v>1</v>
      </c>
      <c r="J85" s="7">
        <v>2</v>
      </c>
    </row>
    <row r="86" spans="1:10" x14ac:dyDescent="0.3">
      <c r="A86" s="5">
        <v>85</v>
      </c>
      <c r="B86" s="5">
        <v>1</v>
      </c>
      <c r="C86" s="5">
        <v>1101</v>
      </c>
      <c r="D86" s="5">
        <v>39</v>
      </c>
      <c r="E86" s="5">
        <v>2</v>
      </c>
      <c r="F86" s="23" t="str">
        <f>IF(E86=2,INDEX('11.Item_Table'!E:E,MATCH(G86,'11.Item_Table'!B:B,0)),IF(E86=1,G86&amp;" 골드","-"))</f>
        <v>철갑옷</v>
      </c>
      <c r="G86" s="10">
        <v>12003</v>
      </c>
      <c r="H86" s="5">
        <v>1</v>
      </c>
      <c r="J86" s="7">
        <v>3</v>
      </c>
    </row>
    <row r="87" spans="1:10" x14ac:dyDescent="0.3">
      <c r="A87" s="5">
        <v>86</v>
      </c>
      <c r="B87" s="5">
        <v>1</v>
      </c>
      <c r="C87" s="5">
        <v>1101</v>
      </c>
      <c r="D87" s="5">
        <v>91</v>
      </c>
      <c r="E87" s="5">
        <v>2</v>
      </c>
      <c r="F87" s="23" t="str">
        <f>IF(E87=2,INDEX('11.Item_Table'!E:E,MATCH(G87,'11.Item_Table'!B:B,0)),IF(E87=1,G87&amp;" 골드","-"))</f>
        <v>천 모자</v>
      </c>
      <c r="G87" s="10">
        <v>12004</v>
      </c>
      <c r="H87" s="5">
        <v>1</v>
      </c>
      <c r="J87" s="7">
        <v>1</v>
      </c>
    </row>
    <row r="88" spans="1:10" x14ac:dyDescent="0.3">
      <c r="A88" s="5">
        <v>87</v>
      </c>
      <c r="B88" s="5">
        <v>1</v>
      </c>
      <c r="C88" s="5">
        <v>1101</v>
      </c>
      <c r="D88" s="5">
        <v>102</v>
      </c>
      <c r="E88" s="5">
        <v>2</v>
      </c>
      <c r="F88" s="23" t="str">
        <f>IF(E88=2,INDEX('11.Item_Table'!E:E,MATCH(G88,'11.Item_Table'!B:B,0)),IF(E88=1,G88&amp;" 골드","-"))</f>
        <v>가죽 모자</v>
      </c>
      <c r="G88" s="10">
        <v>12005</v>
      </c>
      <c r="H88" s="5">
        <v>1</v>
      </c>
      <c r="J88" s="7">
        <v>2</v>
      </c>
    </row>
    <row r="89" spans="1:10" x14ac:dyDescent="0.3">
      <c r="A89" s="5">
        <v>88</v>
      </c>
      <c r="B89" s="5">
        <v>1</v>
      </c>
      <c r="C89" s="5">
        <v>1101</v>
      </c>
      <c r="D89" s="5">
        <v>39</v>
      </c>
      <c r="E89" s="5">
        <v>2</v>
      </c>
      <c r="F89" s="23" t="str">
        <f>IF(E89=2,INDEX('11.Item_Table'!E:E,MATCH(G89,'11.Item_Table'!B:B,0)),IF(E89=1,G89&amp;" 골드","-"))</f>
        <v>철 투구</v>
      </c>
      <c r="G89" s="10">
        <v>12006</v>
      </c>
      <c r="H89" s="5">
        <v>1</v>
      </c>
      <c r="J89" s="7">
        <v>3</v>
      </c>
    </row>
    <row r="90" spans="1:10" x14ac:dyDescent="0.3">
      <c r="A90" s="5">
        <v>89</v>
      </c>
      <c r="B90" s="5">
        <v>1</v>
      </c>
      <c r="C90" s="5">
        <v>1101</v>
      </c>
      <c r="D90" s="5">
        <v>91</v>
      </c>
      <c r="E90" s="5">
        <v>2</v>
      </c>
      <c r="F90" s="23" t="str">
        <f>IF(E90=2,INDEX('11.Item_Table'!E:E,MATCH(G90,'11.Item_Table'!B:B,0)),IF(E90=1,G90&amp;" 골드","-"))</f>
        <v>하급 생명 반지</v>
      </c>
      <c r="G90" s="10">
        <v>12007</v>
      </c>
      <c r="H90" s="5">
        <v>1</v>
      </c>
      <c r="J90" s="7">
        <v>1</v>
      </c>
    </row>
    <row r="91" spans="1:10" x14ac:dyDescent="0.3">
      <c r="A91" s="5">
        <v>90</v>
      </c>
      <c r="B91" s="5">
        <v>1</v>
      </c>
      <c r="C91" s="5">
        <v>1101</v>
      </c>
      <c r="D91" s="5">
        <v>91</v>
      </c>
      <c r="E91" s="5">
        <v>2</v>
      </c>
      <c r="F91" s="23" t="str">
        <f>IF(E91=2,INDEX('11.Item_Table'!E:E,MATCH(G91,'11.Item_Table'!B:B,0)),IF(E91=1,G91&amp;" 골드","-"))</f>
        <v>하급 생명 목걸이</v>
      </c>
      <c r="G91" s="10">
        <v>12008</v>
      </c>
      <c r="H91" s="5">
        <v>1</v>
      </c>
      <c r="J91" s="7">
        <v>1</v>
      </c>
    </row>
    <row r="92" spans="1:10" x14ac:dyDescent="0.3">
      <c r="A92" s="5">
        <v>91</v>
      </c>
      <c r="B92" s="5">
        <v>1</v>
      </c>
      <c r="C92" s="5">
        <v>1101</v>
      </c>
      <c r="D92" s="5">
        <v>91</v>
      </c>
      <c r="E92" s="5">
        <v>2</v>
      </c>
      <c r="F92" s="23" t="str">
        <f>IF(E92=2,INDEX('11.Item_Table'!E:E,MATCH(G92,'11.Item_Table'!B:B,0)),IF(E92=1,G92&amp;" 골드","-"))</f>
        <v>하급 공격 반지</v>
      </c>
      <c r="G92" s="10">
        <v>12009</v>
      </c>
      <c r="H92" s="5">
        <v>1</v>
      </c>
      <c r="J92" s="7">
        <v>1</v>
      </c>
    </row>
    <row r="93" spans="1:10" x14ac:dyDescent="0.3">
      <c r="A93" s="5">
        <v>92</v>
      </c>
      <c r="B93" s="5">
        <v>1</v>
      </c>
      <c r="C93" s="5">
        <v>1101</v>
      </c>
      <c r="D93" s="5">
        <v>91</v>
      </c>
      <c r="E93" s="5">
        <v>2</v>
      </c>
      <c r="F93" s="23" t="str">
        <f>IF(E93=2,INDEX('11.Item_Table'!E:E,MATCH(G93,'11.Item_Table'!B:B,0)),IF(E93=1,G93&amp;" 골드","-"))</f>
        <v>하급 공격 목걸이</v>
      </c>
      <c r="G93" s="10">
        <v>12010</v>
      </c>
      <c r="H93" s="5">
        <v>1</v>
      </c>
      <c r="J93" s="7">
        <v>1</v>
      </c>
    </row>
    <row r="94" spans="1:10" x14ac:dyDescent="0.3">
      <c r="A94" s="5">
        <v>93</v>
      </c>
      <c r="B94" s="5">
        <v>1</v>
      </c>
      <c r="C94" s="5">
        <v>1101</v>
      </c>
      <c r="D94" s="5">
        <v>3</v>
      </c>
      <c r="E94" s="5">
        <v>2</v>
      </c>
      <c r="F94" s="23" t="str">
        <f>IF(E94=2,INDEX('11.Item_Table'!E:E,MATCH(G94,'11.Item_Table'!B:B,0)),IF(E94=1,G94&amp;" 골드","-"))</f>
        <v>불멸의 목걸이</v>
      </c>
      <c r="G94" s="10">
        <v>12011</v>
      </c>
      <c r="H94" s="5">
        <v>1</v>
      </c>
      <c r="J94" s="7">
        <v>5</v>
      </c>
    </row>
    <row r="95" spans="1:10" x14ac:dyDescent="0.3">
      <c r="A95" s="5">
        <v>94</v>
      </c>
      <c r="B95" s="5">
        <v>1</v>
      </c>
      <c r="C95" s="5">
        <v>1101</v>
      </c>
      <c r="D95" s="5">
        <v>19</v>
      </c>
      <c r="E95" s="5">
        <v>2</v>
      </c>
      <c r="F95" s="23" t="str">
        <f>IF(E95=2,INDEX('11.Item_Table'!E:E,MATCH(G95,'11.Item_Table'!B:B,0)),IF(E95=1,G95&amp;" 골드","-"))</f>
        <v>세계수의 팔찌</v>
      </c>
      <c r="G95" s="10">
        <v>12012</v>
      </c>
      <c r="H95" s="5">
        <v>1</v>
      </c>
      <c r="J95" s="7">
        <v>4</v>
      </c>
    </row>
    <row r="96" spans="1:10" x14ac:dyDescent="0.3">
      <c r="A96" s="5">
        <v>95</v>
      </c>
      <c r="B96" s="5">
        <v>1</v>
      </c>
      <c r="C96" s="5">
        <v>1101</v>
      </c>
      <c r="D96" s="5">
        <v>19</v>
      </c>
      <c r="E96" s="5">
        <v>2</v>
      </c>
      <c r="F96" s="23" t="str">
        <f>IF(E96=2,INDEX('11.Item_Table'!E:E,MATCH(G96,'11.Item_Table'!B:B,0)),IF(E96=1,G96&amp;" 골드","-"))</f>
        <v>크로노스의 아뮬렛</v>
      </c>
      <c r="G96" s="10">
        <v>12013</v>
      </c>
      <c r="H96" s="5">
        <v>1</v>
      </c>
      <c r="J96" s="7">
        <v>4</v>
      </c>
    </row>
    <row r="97" spans="1:10" x14ac:dyDescent="0.3">
      <c r="A97" s="5">
        <v>96</v>
      </c>
      <c r="B97" s="5">
        <v>1</v>
      </c>
      <c r="C97" s="5">
        <v>1101</v>
      </c>
      <c r="D97" s="5">
        <v>19</v>
      </c>
      <c r="E97" s="5">
        <v>2</v>
      </c>
      <c r="F97" s="23" t="str">
        <f>IF(E97=2,INDEX('11.Item_Table'!E:E,MATCH(G97,'11.Item_Table'!B:B,0)),IF(E97=1,G97&amp;" 골드","-"))</f>
        <v>헤르메스의 브로치</v>
      </c>
      <c r="G97" s="10">
        <v>12014</v>
      </c>
      <c r="H97" s="5">
        <v>1</v>
      </c>
      <c r="J97" s="7">
        <v>4</v>
      </c>
    </row>
    <row r="98" spans="1:10" x14ac:dyDescent="0.3">
      <c r="A98" s="5">
        <v>97</v>
      </c>
      <c r="B98" s="5">
        <v>1</v>
      </c>
      <c r="C98" s="5">
        <v>1101</v>
      </c>
      <c r="D98" s="5">
        <v>39</v>
      </c>
      <c r="E98" s="5">
        <v>2</v>
      </c>
      <c r="F98" s="23" t="str">
        <f>IF(E98=2,INDEX('11.Item_Table'!E:E,MATCH(G98,'11.Item_Table'!B:B,0)),IF(E98=1,G98&amp;" 골드","-"))</f>
        <v>고양이 발톱 목걸이</v>
      </c>
      <c r="G98" s="10">
        <v>12015</v>
      </c>
      <c r="H98" s="5">
        <v>1</v>
      </c>
      <c r="J98" s="7">
        <v>3</v>
      </c>
    </row>
    <row r="99" spans="1:10" x14ac:dyDescent="0.3">
      <c r="A99" s="5">
        <v>98</v>
      </c>
      <c r="B99" s="5">
        <v>1</v>
      </c>
      <c r="C99" s="5">
        <v>1101</v>
      </c>
      <c r="D99" s="5">
        <v>39</v>
      </c>
      <c r="E99" s="5">
        <v>2</v>
      </c>
      <c r="F99" s="23" t="str">
        <f>IF(E99=2,INDEX('11.Item_Table'!E:E,MATCH(G99,'11.Item_Table'!B:B,0)),IF(E99=1,G99&amp;" 골드","-"))</f>
        <v>설인의 송곳니</v>
      </c>
      <c r="G99" s="10">
        <v>12016</v>
      </c>
      <c r="H99" s="5">
        <v>1</v>
      </c>
      <c r="J99" s="7">
        <v>3</v>
      </c>
    </row>
    <row r="100" spans="1:10" x14ac:dyDescent="0.3">
      <c r="A100" s="5">
        <v>99</v>
      </c>
      <c r="B100" s="5">
        <v>1</v>
      </c>
      <c r="C100" s="5">
        <v>1101</v>
      </c>
      <c r="D100" s="5">
        <v>19</v>
      </c>
      <c r="E100" s="5">
        <v>2</v>
      </c>
      <c r="F100" s="23" t="str">
        <f>IF(E100=2,INDEX('11.Item_Table'!E:E,MATCH(G100,'11.Item_Table'!B:B,0)),IF(E100=1,G100&amp;" 골드","-"))</f>
        <v>불사조의 정수</v>
      </c>
      <c r="G100" s="10">
        <v>12017</v>
      </c>
      <c r="H100" s="5">
        <v>1</v>
      </c>
      <c r="J100" s="7">
        <v>4</v>
      </c>
    </row>
    <row r="101" spans="1:10" x14ac:dyDescent="0.3">
      <c r="A101" s="5">
        <v>100</v>
      </c>
      <c r="B101" s="5">
        <v>1</v>
      </c>
      <c r="C101" s="5">
        <v>1101</v>
      </c>
      <c r="D101" s="5">
        <v>19</v>
      </c>
      <c r="E101" s="5">
        <v>2</v>
      </c>
      <c r="F101" s="23" t="str">
        <f>IF(E101=2,INDEX('11.Item_Table'!E:E,MATCH(G101,'11.Item_Table'!B:B,0)),IF(E101=1,G101&amp;" 골드","-"))</f>
        <v>갈망의 반지</v>
      </c>
      <c r="G101" s="10">
        <v>12018</v>
      </c>
      <c r="H101" s="5">
        <v>1</v>
      </c>
      <c r="J101" s="7">
        <v>4</v>
      </c>
    </row>
    <row r="102" spans="1:10" x14ac:dyDescent="0.3">
      <c r="A102" s="5">
        <v>101</v>
      </c>
      <c r="B102" s="5">
        <v>1</v>
      </c>
      <c r="C102" s="5">
        <v>1101</v>
      </c>
      <c r="D102" s="5">
        <v>19</v>
      </c>
      <c r="E102" s="5">
        <v>2</v>
      </c>
      <c r="F102" s="23" t="str">
        <f>IF(E102=2,INDEX('11.Item_Table'!E:E,MATCH(G102,'11.Item_Table'!B:B,0)),IF(E102=1,G102&amp;" 골드","-"))</f>
        <v>액막이 인형</v>
      </c>
      <c r="G102" s="10">
        <v>12019</v>
      </c>
      <c r="H102" s="5">
        <v>1</v>
      </c>
      <c r="J102" s="7">
        <v>4</v>
      </c>
    </row>
    <row r="103" spans="1:10" x14ac:dyDescent="0.3">
      <c r="A103" s="5">
        <v>102</v>
      </c>
      <c r="B103" s="5">
        <v>1</v>
      </c>
      <c r="C103" s="5">
        <v>1101</v>
      </c>
      <c r="D103" s="5">
        <v>3</v>
      </c>
      <c r="E103" s="5">
        <v>2</v>
      </c>
      <c r="F103" s="23" t="str">
        <f>IF(E103=2,INDEX('11.Item_Table'!E:E,MATCH(G103,'11.Item_Table'!B:B,0)),IF(E103=1,G103&amp;" 골드","-"))</f>
        <v>데스링</v>
      </c>
      <c r="G103" s="10">
        <v>12020</v>
      </c>
      <c r="H103" s="5">
        <v>1</v>
      </c>
      <c r="J103" s="7">
        <v>5</v>
      </c>
    </row>
    <row r="104" spans="1:10" x14ac:dyDescent="0.3">
      <c r="A104" s="5">
        <v>103</v>
      </c>
      <c r="B104" s="5">
        <v>1</v>
      </c>
      <c r="C104" s="5">
        <v>1101</v>
      </c>
      <c r="D104" s="5">
        <v>117</v>
      </c>
      <c r="E104" s="5">
        <v>2</v>
      </c>
      <c r="F104" s="23" t="str">
        <f>IF(E104=2,INDEX('11.Item_Table'!E:E,MATCH(G104,'11.Item_Table'!B:B,0)),IF(E104=1,G104&amp;" 골드","-"))</f>
        <v>약초 더미</v>
      </c>
      <c r="G104" s="10">
        <v>20002</v>
      </c>
      <c r="H104" s="5">
        <v>1</v>
      </c>
      <c r="J104" s="7">
        <v>0</v>
      </c>
    </row>
    <row r="105" spans="1:10" x14ac:dyDescent="0.3">
      <c r="A105" s="5">
        <v>104</v>
      </c>
      <c r="B105" s="5">
        <v>1</v>
      </c>
      <c r="C105" s="5">
        <v>1101</v>
      </c>
      <c r="D105" s="5">
        <v>117</v>
      </c>
      <c r="E105" s="5">
        <v>2</v>
      </c>
      <c r="F105" s="23" t="str">
        <f>IF(E105=2,INDEX('11.Item_Table'!E:E,MATCH(G105,'11.Item_Table'!B:B,0)),IF(E105=1,G105&amp;" 골드","-"))</f>
        <v>약초 뭉치</v>
      </c>
      <c r="G105" s="10">
        <v>20003</v>
      </c>
      <c r="H105" s="5">
        <v>1</v>
      </c>
      <c r="J105" s="7">
        <v>0</v>
      </c>
    </row>
    <row r="106" spans="1:10" x14ac:dyDescent="0.3">
      <c r="A106" s="5">
        <v>105</v>
      </c>
      <c r="B106" s="5">
        <v>1</v>
      </c>
      <c r="C106" s="5">
        <v>1101</v>
      </c>
      <c r="D106" s="5">
        <v>117</v>
      </c>
      <c r="E106" s="5">
        <v>2</v>
      </c>
      <c r="F106" s="23" t="str">
        <f>IF(E106=2,INDEX('11.Item_Table'!E:E,MATCH(G106,'11.Item_Table'!B:B,0)),IF(E106=1,G106&amp;" 골드","-"))</f>
        <v>붕대</v>
      </c>
      <c r="G106" s="10">
        <v>20004</v>
      </c>
      <c r="H106" s="5">
        <v>1</v>
      </c>
      <c r="J106" s="7">
        <v>0</v>
      </c>
    </row>
    <row r="107" spans="1:10" x14ac:dyDescent="0.3">
      <c r="A107" s="5">
        <v>106</v>
      </c>
      <c r="B107" s="5">
        <v>1</v>
      </c>
      <c r="C107" s="5">
        <v>1101</v>
      </c>
      <c r="D107" s="5">
        <v>117</v>
      </c>
      <c r="E107" s="5">
        <v>2</v>
      </c>
      <c r="F107" s="23" t="str">
        <f>IF(E107=2,INDEX('11.Item_Table'!E:E,MATCH(G107,'11.Item_Table'!B:B,0)),IF(E107=1,G107&amp;" 골드","-"))</f>
        <v>한방약</v>
      </c>
      <c r="G107" s="10">
        <v>20005</v>
      </c>
      <c r="H107" s="5">
        <v>1</v>
      </c>
      <c r="J107" s="7">
        <v>0</v>
      </c>
    </row>
    <row r="108" spans="1:10" x14ac:dyDescent="0.3">
      <c r="A108" s="5">
        <v>107</v>
      </c>
      <c r="B108" s="5">
        <v>1</v>
      </c>
      <c r="C108" s="5">
        <v>1101</v>
      </c>
      <c r="D108" s="5">
        <v>117</v>
      </c>
      <c r="E108" s="5">
        <v>2</v>
      </c>
      <c r="F108" s="23" t="str">
        <f>IF(E108=2,INDEX('11.Item_Table'!E:E,MATCH(G108,'11.Item_Table'!B:B,0)),IF(E108=1,G108&amp;" 골드","-"))</f>
        <v>연고약</v>
      </c>
      <c r="G108" s="10">
        <v>20006</v>
      </c>
      <c r="H108" s="5">
        <v>1</v>
      </c>
      <c r="J108" s="7">
        <v>0</v>
      </c>
    </row>
    <row r="109" spans="1:10" x14ac:dyDescent="0.3">
      <c r="A109" s="5">
        <v>108</v>
      </c>
      <c r="B109" s="5">
        <v>1</v>
      </c>
      <c r="C109" s="5">
        <v>1101</v>
      </c>
      <c r="D109" s="5">
        <v>117</v>
      </c>
      <c r="E109" s="5">
        <v>2</v>
      </c>
      <c r="F109" s="23" t="str">
        <f>IF(E109=2,INDEX('11.Item_Table'!E:E,MATCH(G109,'11.Item_Table'!B:B,0)),IF(E109=1,G109&amp;" 골드","-"))</f>
        <v>만능 물약</v>
      </c>
      <c r="G109" s="10">
        <v>20007</v>
      </c>
      <c r="H109" s="5">
        <v>1</v>
      </c>
      <c r="J109" s="7">
        <v>0</v>
      </c>
    </row>
    <row r="110" spans="1:10" x14ac:dyDescent="0.3">
      <c r="A110" s="5">
        <v>109</v>
      </c>
      <c r="B110" s="5">
        <v>1</v>
      </c>
      <c r="C110" s="5">
        <v>1101</v>
      </c>
      <c r="D110" s="5">
        <v>2356</v>
      </c>
      <c r="E110" s="5">
        <v>1</v>
      </c>
      <c r="F110" s="23" t="str">
        <f>IF(E110=2,INDEX('11.Item_Table'!E:E,MATCH(G110,'11.Item_Table'!B:B,0)),IF(E110=1,G110&amp;" 골드","-"))</f>
        <v>3 골드</v>
      </c>
      <c r="G110" s="5">
        <v>3</v>
      </c>
      <c r="H110" s="5">
        <v>0</v>
      </c>
    </row>
    <row r="111" spans="1:10" x14ac:dyDescent="0.3">
      <c r="A111" s="5">
        <v>110</v>
      </c>
      <c r="B111" s="5">
        <v>1</v>
      </c>
      <c r="C111" s="5">
        <v>1101</v>
      </c>
      <c r="D111" s="5">
        <v>2356</v>
      </c>
      <c r="E111" s="5">
        <v>1</v>
      </c>
      <c r="F111" s="23" t="str">
        <f>IF(E111=2,INDEX('11.Item_Table'!E:E,MATCH(G111,'11.Item_Table'!B:B,0)),IF(E111=1,G111&amp;" 골드","-"))</f>
        <v>4 골드</v>
      </c>
      <c r="G111" s="5">
        <v>4</v>
      </c>
      <c r="H111" s="5">
        <v>0</v>
      </c>
    </row>
    <row r="112" spans="1:10" x14ac:dyDescent="0.3">
      <c r="A112" s="5">
        <v>111</v>
      </c>
      <c r="B112" s="5">
        <v>1</v>
      </c>
      <c r="C112" s="5">
        <v>1101</v>
      </c>
      <c r="D112" s="5">
        <v>2355</v>
      </c>
      <c r="E112" s="5">
        <v>1</v>
      </c>
      <c r="F112" s="23" t="str">
        <f>IF(E112=2,INDEX('11.Item_Table'!E:E,MATCH(G112,'11.Item_Table'!B:B,0)),IF(E112=1,G112&amp;" 골드","-"))</f>
        <v>5 골드</v>
      </c>
      <c r="G112" s="5">
        <v>5</v>
      </c>
      <c r="H112" s="5">
        <v>0</v>
      </c>
    </row>
    <row r="113" spans="1:1" x14ac:dyDescent="0.3">
      <c r="A113" s="5">
        <v>112</v>
      </c>
    </row>
  </sheetData>
  <mergeCells count="3">
    <mergeCell ref="L2:N2"/>
    <mergeCell ref="P2:R2"/>
    <mergeCell ref="P10:T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11.Item_Table</vt:lpstr>
      <vt:lpstr>11.아이템 테이블 설명</vt:lpstr>
      <vt:lpstr>12.Box_Table</vt:lpstr>
      <vt:lpstr>13.Gacha_Table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2024-03-02T08:47:40Z</dcterms:created>
  <dcterms:modified xsi:type="dcterms:W3CDTF">2024-09-24T15:06:29Z</dcterms:modified>
</cp:coreProperties>
</file>