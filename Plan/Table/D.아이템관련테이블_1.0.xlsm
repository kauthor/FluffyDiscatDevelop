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3D96EA2F-9611-4240-A920-5755306CD495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11.Item_Table" sheetId="1" r:id="rId1"/>
    <sheet name="11.아이템 테이블 설명" sheetId="4" r:id="rId2"/>
    <sheet name="12.Box_Table" sheetId="2" r:id="rId3"/>
    <sheet name="13.Gacha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56" i="1" l="1"/>
  <c r="AH55" i="1"/>
  <c r="AH54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2" i="1"/>
  <c r="K2" i="3"/>
  <c r="F45" i="3"/>
  <c r="F46" i="3"/>
  <c r="F47" i="3"/>
  <c r="F48" i="3"/>
  <c r="F49" i="3"/>
  <c r="F50" i="3"/>
  <c r="F51" i="3"/>
  <c r="F44" i="3"/>
  <c r="F53" i="3"/>
  <c r="F52" i="3"/>
  <c r="K12" i="3"/>
  <c r="F42" i="3"/>
  <c r="F4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2" i="3"/>
</calcChain>
</file>

<file path=xl/sharedStrings.xml><?xml version="1.0" encoding="utf-8"?>
<sst xmlns="http://schemas.openxmlformats.org/spreadsheetml/2006/main" count="712" uniqueCount="403">
  <si>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</si>
  <si>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</si>
  <si>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</si>
  <si>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</si>
  <si>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</si>
  <si>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</si>
  <si>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</si>
  <si>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</si>
  <si>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</si>
  <si>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</si>
  <si>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</si>
  <si>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</si>
  <si>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</si>
  <si>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</si>
  <si>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</si>
  <si>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</si>
  <si>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</si>
  <si>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</si>
  <si>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</si>
  <si>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</si>
  <si>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</si>
  <si>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</si>
  <si>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</si>
  <si>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</si>
  <si>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</si>
  <si>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</si>
  <si>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</si>
  <si>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</si>
  <si>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</si>
  <si>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</si>
  <si>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</si>
  <si>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</si>
  <si>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</si>
  <si>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</si>
  <si>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</si>
  <si>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</si>
  <si>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</si>
  <si>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</si>
  <si>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</si>
  <si>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Item_type</t>
    <phoneticPr fontId="1" type="noConversion"/>
  </si>
  <si>
    <t>장비</t>
    <phoneticPr fontId="1" type="noConversion"/>
  </si>
  <si>
    <t>소비</t>
    <phoneticPr fontId="1" type="noConversion"/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</si>
  <si>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</si>
  <si>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</si>
  <si>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</si>
  <si>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</si>
  <si>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</si>
  <si>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</si>
  <si>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</si>
  <si>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</si>
  <si>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</si>
  <si>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</si>
  <si>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</si>
  <si>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</si>
  <si>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</si>
  <si>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</si>
  <si>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</si>
  <si>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물리</t>
    <phoneticPr fontId="1" type="noConversion"/>
  </si>
  <si>
    <t>마법</t>
    <phoneticPr fontId="1" type="noConversion"/>
  </si>
  <si>
    <t>혼합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</si>
  <si>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</si>
  <si>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</si>
  <si>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</si>
  <si>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</si>
  <si>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</si>
  <si>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</si>
  <si>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</si>
  <si>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</si>
  <si>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</si>
  <si>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</si>
  <si>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</si>
  <si>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</si>
  <si>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</si>
  <si>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</si>
  <si>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</si>
  <si>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</si>
  <si>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</si>
  <si>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</si>
  <si>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</si>
  <si>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</si>
  <si>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</si>
  <si>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</si>
  <si>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</si>
  <si>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</si>
  <si>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</si>
  <si>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</si>
  <si>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</si>
  <si>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</si>
  <si>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</si>
  <si>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</si>
  <si>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</si>
  <si>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</si>
  <si>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</si>
  <si>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</si>
  <si>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</si>
  <si>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</si>
  <si>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</si>
  <si>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</si>
  <si>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</si>
  <si>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</si>
  <si>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</si>
  <si>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</si>
  <si>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</si>
  <si>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</si>
  <si>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</si>
  <si>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</si>
  <si>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</si>
  <si>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</si>
  <si>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</si>
  <si>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</si>
  <si>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</si>
  <si>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</si>
  <si>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</si>
  <si>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</si>
  <si>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</si>
  <si>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</si>
  <si>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</si>
  <si>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</si>
  <si>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</si>
  <si>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</si>
  <si>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</si>
  <si>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</si>
  <si>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</si>
  <si>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</si>
  <si>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</si>
  <si>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</si>
  <si>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</si>
  <si>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</si>
  <si>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</si>
  <si>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</si>
  <si>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</si>
  <si>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</si>
  <si>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</si>
  <si>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</si>
  <si>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</si>
  <si>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</si>
  <si>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</si>
  <si>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</si>
  <si>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</si>
  <si>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</si>
  <si>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</si>
  <si>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</si>
  <si>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</si>
  <si>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</si>
  <si>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</si>
  <si>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</si>
  <si>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</si>
  <si>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</si>
  <si>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</si>
  <si>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</si>
  <si>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</si>
  <si>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</si>
  <si>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</si>
  <si>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</si>
  <si>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</si>
  <si>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</si>
  <si>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</si>
  <si>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</si>
  <si>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</si>
  <si>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</si>
  <si>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</si>
  <si>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</si>
  <si>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</si>
  <si>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</si>
  <si>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</si>
  <si>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</si>
  <si>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</si>
  <si>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</si>
  <si>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</si>
  <si>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</si>
  <si>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</si>
  <si>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</si>
  <si>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</si>
  <si>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</si>
  <si>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</si>
  <si>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</si>
  <si>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</si>
  <si>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</si>
  <si>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</si>
  <si>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</si>
  <si>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</si>
  <si>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</si>
  <si>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</si>
  <si>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</si>
  <si>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</si>
  <si>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</si>
  <si>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</si>
  <si>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</si>
  <si>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</si>
  <si>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</si>
  <si>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</si>
  <si>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</si>
  <si>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</si>
  <si>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</si>
  <si>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</si>
  <si>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</si>
  <si>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</si>
  <si>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</si>
  <si>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</si>
  <si>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</si>
  <si>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</si>
  <si>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</si>
  <si>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</si>
  <si>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</si>
  <si>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</si>
  <si>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</si>
  <si>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</si>
  <si>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</si>
  <si>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</si>
  <si>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</si>
  <si>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</si>
  <si>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</si>
  <si>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</si>
  <si>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</si>
  <si>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</si>
  <si>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</si>
  <si>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</si>
  <si>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</si>
  <si>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</si>
  <si>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</si>
  <si>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</si>
  <si>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</si>
  <si>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</si>
  <si>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</si>
  <si>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</si>
  <si>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</si>
  <si>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</si>
  <si>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</si>
  <si>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</si>
  <si>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</si>
  <si>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</si>
  <si>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</si>
  <si>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</si>
  <si>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</si>
  <si>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</si>
  <si>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</si>
  <si>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</si>
  <si>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</si>
  <si>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</si>
  <si>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</si>
  <si>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</si>
  <si>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</si>
  <si>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</si>
  <si>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</si>
  <si>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</si>
  <si>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</si>
  <si>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</si>
  <si>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</si>
  <si>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</si>
  <si>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</si>
  <si>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</si>
  <si>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</si>
  <si>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</si>
  <si>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</si>
  <si>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</si>
  <si>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</si>
  <si>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</si>
  <si>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</si>
  <si>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</si>
  <si>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</si>
  <si>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</si>
  <si>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</si>
  <si>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</si>
  <si>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</si>
  <si>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</si>
  <si>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</si>
  <si>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</si>
  <si>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</si>
  <si>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</si>
  <si>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</si>
  <si>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</si>
  <si>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</si>
  <si>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</si>
  <si>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</si>
  <si>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</si>
  <si>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</si>
  <si>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</si>
  <si>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</si>
  <si>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</si>
  <si>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</si>
  <si>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</si>
  <si>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</si>
  <si>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</si>
  <si>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</si>
  <si>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</si>
  <si>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</si>
  <si>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</si>
  <si>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</si>
  <si>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</si>
  <si>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</si>
  <si>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</si>
  <si>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</si>
  <si>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</si>
  <si>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</si>
  <si>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</si>
  <si>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</si>
  <si>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</si>
  <si>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</si>
  <si>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</si>
  <si>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</si>
  <si>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</si>
  <si>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</si>
  <si>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</si>
  <si>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</si>
  <si>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</si>
  <si>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</si>
  <si>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</si>
  <si>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</si>
  <si>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</si>
  <si>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</si>
  <si>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</si>
  <si>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</si>
  <si>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</si>
  <si>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</si>
  <si>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상자</t>
    <phoneticPr fontId="1" type="noConversion"/>
  </si>
  <si>
    <t>item_20001</t>
    <phoneticPr fontId="1" type="noConversion"/>
  </si>
  <si>
    <t>item_30001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</si>
  <si>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</si>
  <si>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</si>
  <si>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</si>
  <si>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</si>
  <si>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</si>
  <si>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</si>
  <si>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</si>
  <si>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</si>
  <si>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item_90001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</si>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</sst>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T98"/>
  <sheetViews>
    <sheetView tabSelected="1" topLeftCell="A20" zoomScale="85" zoomScaleNormal="85" workbookViewId="0">
      <selection activeCell="W36" sqref="W36"/>
    </sheetView>
  </sheetViews>
  <sheetFormatPr defaultRowHeight="12" x14ac:dyDescent="0.3"/>
  <cols>
    <col min="1" max="1" width="9.5" style="12" bestFit="1" customWidth="1"/>
    <col min="2" max="2" width="6.75" style="10" bestFit="1" customWidth="1"/>
    <col min="3" max="3" width="7.5" style="9" bestFit="1" customWidth="1"/>
    <col min="4" max="4" width="6.1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bestFit="1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5" style="3" bestFit="1" customWidth="1"/>
    <col min="39" max="39" width="25.375" style="3" bestFit="1" customWidth="1"/>
    <col min="40" max="40" width="17.875" style="3" bestFit="1" customWidth="1"/>
    <col min="41" max="41" width="19.5" style="3" bestFit="1" customWidth="1"/>
    <col min="42" max="45" width="9" style="3"/>
    <col min="46" max="46" width="18.875" style="3" customWidth="1"/>
    <col min="47" max="16384" width="9" style="3"/>
  </cols>
  <sheetData>
    <row r="1" spans="1:46" x14ac:dyDescent="0.3">
      <c r="A1" s="11" t="s">
        <v>254</v>
      </c>
      <c r="B1" s="17" t="s">
        <v>4</v>
      </c>
      <c r="C1" s="8" t="s">
        <v>6</v>
      </c>
      <c r="D1" s="8" t="s">
        <v>30</v>
      </c>
      <c r="E1" s="13" t="s">
        <v>255</v>
      </c>
      <c r="F1" s="14" t="s">
        <v>256</v>
      </c>
      <c r="G1" s="1" t="s">
        <v>257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258</v>
      </c>
      <c r="N1" s="1" t="s">
        <v>14</v>
      </c>
      <c r="O1" s="1" t="s">
        <v>12</v>
      </c>
      <c r="P1" s="1" t="s">
        <v>13</v>
      </c>
      <c r="Q1" s="1" t="s">
        <v>249</v>
      </c>
      <c r="R1" s="1" t="s">
        <v>250</v>
      </c>
      <c r="S1" s="1" t="s">
        <v>251</v>
      </c>
      <c r="T1" s="1" t="s">
        <v>252</v>
      </c>
      <c r="U1" s="1" t="s">
        <v>253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46" x14ac:dyDescent="0.3">
      <c r="A2" s="12" t="s">
        <v>203</v>
      </c>
      <c r="B2" s="10">
        <v>11001</v>
      </c>
      <c r="C2" s="9">
        <v>1</v>
      </c>
      <c r="D2" s="9">
        <v>1</v>
      </c>
      <c r="E2" s="15" t="s">
        <v>60</v>
      </c>
      <c r="F2" s="16" t="s">
        <v>259</v>
      </c>
      <c r="G2" s="4">
        <v>1</v>
      </c>
      <c r="H2" s="4">
        <v>0</v>
      </c>
      <c r="I2" s="4">
        <v>1</v>
      </c>
      <c r="J2" s="4">
        <v>0</v>
      </c>
      <c r="K2" s="4">
        <v>0</v>
      </c>
      <c r="L2" s="4">
        <v>0</v>
      </c>
      <c r="M2" s="4">
        <v>1</v>
      </c>
      <c r="N2" s="4">
        <v>1</v>
      </c>
      <c r="O2" s="4">
        <v>2</v>
      </c>
      <c r="P2" s="4">
        <v>4</v>
      </c>
      <c r="Q2" s="4">
        <v>0</v>
      </c>
      <c r="R2" s="4">
        <v>0</v>
      </c>
      <c r="S2" s="4">
        <v>0</v>
      </c>
      <c r="T2" s="4">
        <v>100</v>
      </c>
      <c r="U2" s="4">
        <v>100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 t="str">
        <f>"item_"&amp;B2</f>
        <v>item_11001</v>
      </c>
      <c r="AL2" s="24" t="s">
        <v>196</v>
      </c>
      <c r="AM2" s="24"/>
      <c r="AN2" s="24"/>
      <c r="AP2" s="25" t="s">
        <v>39</v>
      </c>
      <c r="AQ2" s="25"/>
      <c r="AS2" s="25" t="s">
        <v>11</v>
      </c>
      <c r="AT2" s="25"/>
    </row>
    <row r="3" spans="1:46" x14ac:dyDescent="0.3">
      <c r="A3" s="12" t="s">
        <v>203</v>
      </c>
      <c r="B3" s="10">
        <v>11002</v>
      </c>
      <c r="C3" s="9">
        <v>1</v>
      </c>
      <c r="D3" s="9">
        <v>1</v>
      </c>
      <c r="E3" s="15" t="s">
        <v>61</v>
      </c>
      <c r="F3" s="16" t="s">
        <v>260</v>
      </c>
      <c r="G3" s="4">
        <v>1</v>
      </c>
      <c r="H3" s="4">
        <v>0</v>
      </c>
      <c r="I3" s="4">
        <v>2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4</v>
      </c>
      <c r="P3" s="4">
        <v>6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 t="shared" ref="AH3:AH53" si="0">"item_"&amp;B3</f>
        <v>item_11002</v>
      </c>
      <c r="AL3" s="10" t="s">
        <v>255</v>
      </c>
      <c r="AM3" s="10" t="s">
        <v>270</v>
      </c>
      <c r="AN3" s="10" t="s">
        <v>271</v>
      </c>
      <c r="AP3" s="4">
        <v>1</v>
      </c>
      <c r="AQ3" s="4" t="s">
        <v>40</v>
      </c>
      <c r="AS3" s="4">
        <v>1</v>
      </c>
      <c r="AT3" s="4" t="s">
        <v>42</v>
      </c>
    </row>
    <row r="4" spans="1:46" x14ac:dyDescent="0.3">
      <c r="A4" s="12" t="s">
        <v>203</v>
      </c>
      <c r="B4" s="10">
        <v>11003</v>
      </c>
      <c r="C4" s="9">
        <v>1</v>
      </c>
      <c r="D4" s="9">
        <v>1</v>
      </c>
      <c r="E4" s="15" t="s">
        <v>62</v>
      </c>
      <c r="F4" s="16" t="s">
        <v>261</v>
      </c>
      <c r="G4" s="4">
        <v>1</v>
      </c>
      <c r="H4" s="4">
        <v>0</v>
      </c>
      <c r="I4" s="4">
        <v>3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6</v>
      </c>
      <c r="P4" s="4">
        <v>8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113</v>
      </c>
      <c r="W4" s="4">
        <v>0</v>
      </c>
      <c r="X4" s="4">
        <v>10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si="0"/>
        <v>item_11003</v>
      </c>
      <c r="AL4" s="10" t="s">
        <v>4</v>
      </c>
      <c r="AM4" s="10" t="s">
        <v>272</v>
      </c>
      <c r="AN4" s="10" t="s">
        <v>273</v>
      </c>
      <c r="AP4" s="4">
        <v>2</v>
      </c>
      <c r="AQ4" s="4" t="s">
        <v>41</v>
      </c>
      <c r="AS4" s="4">
        <v>2</v>
      </c>
      <c r="AT4" s="4" t="s">
        <v>43</v>
      </c>
    </row>
    <row r="5" spans="1:46" x14ac:dyDescent="0.3">
      <c r="A5" s="12" t="s">
        <v>203</v>
      </c>
      <c r="B5" s="10">
        <v>11004</v>
      </c>
      <c r="C5" s="9">
        <v>1</v>
      </c>
      <c r="D5" s="9">
        <v>1</v>
      </c>
      <c r="E5" s="15" t="s">
        <v>63</v>
      </c>
      <c r="F5" s="16" t="s">
        <v>262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L5" s="4">
        <v>0</v>
      </c>
      <c r="M5" s="4">
        <v>8</v>
      </c>
      <c r="N5" s="4">
        <v>1</v>
      </c>
      <c r="O5" s="4">
        <v>1</v>
      </c>
      <c r="P5" s="4">
        <v>3</v>
      </c>
      <c r="Q5" s="4">
        <v>0</v>
      </c>
      <c r="R5" s="4">
        <v>0</v>
      </c>
      <c r="S5" s="4">
        <v>0</v>
      </c>
      <c r="T5" s="4">
        <v>90</v>
      </c>
      <c r="U5" s="4">
        <v>400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0"/>
        <v>item_11004</v>
      </c>
      <c r="AL5" s="10" t="s">
        <v>6</v>
      </c>
      <c r="AM5" s="10" t="s">
        <v>274</v>
      </c>
      <c r="AN5" s="10" t="s">
        <v>275</v>
      </c>
      <c r="AP5" s="4">
        <v>3</v>
      </c>
      <c r="AQ5" s="4" t="s">
        <v>314</v>
      </c>
      <c r="AS5" s="4">
        <v>4</v>
      </c>
      <c r="AT5" s="4" t="s">
        <v>46</v>
      </c>
    </row>
    <row r="6" spans="1:46" x14ac:dyDescent="0.3">
      <c r="A6" s="12" t="s">
        <v>203</v>
      </c>
      <c r="B6" s="10">
        <v>11005</v>
      </c>
      <c r="C6" s="9">
        <v>1</v>
      </c>
      <c r="D6" s="9">
        <v>1</v>
      </c>
      <c r="E6" s="15" t="s">
        <v>64</v>
      </c>
      <c r="F6" s="16" t="s">
        <v>263</v>
      </c>
      <c r="G6" s="4">
        <v>1</v>
      </c>
      <c r="H6" s="4">
        <v>0</v>
      </c>
      <c r="I6" s="4">
        <v>2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3</v>
      </c>
      <c r="P6" s="4">
        <v>5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0"/>
        <v>item_11005</v>
      </c>
      <c r="AL6" s="10" t="s">
        <v>30</v>
      </c>
      <c r="AM6" s="10" t="s">
        <v>276</v>
      </c>
      <c r="AN6" s="10" t="s">
        <v>275</v>
      </c>
      <c r="AP6" s="4">
        <v>4</v>
      </c>
      <c r="AQ6" s="4" t="s">
        <v>320</v>
      </c>
      <c r="AS6" s="4">
        <v>8</v>
      </c>
      <c r="AT6" s="4" t="s">
        <v>44</v>
      </c>
    </row>
    <row r="7" spans="1:46" x14ac:dyDescent="0.3">
      <c r="A7" s="12" t="s">
        <v>203</v>
      </c>
      <c r="B7" s="10">
        <v>11006</v>
      </c>
      <c r="C7" s="9">
        <v>1</v>
      </c>
      <c r="D7" s="9">
        <v>1</v>
      </c>
      <c r="E7" s="15" t="s">
        <v>65</v>
      </c>
      <c r="F7" s="16" t="s">
        <v>264</v>
      </c>
      <c r="G7" s="4">
        <v>1</v>
      </c>
      <c r="H7" s="4">
        <v>0</v>
      </c>
      <c r="I7" s="4">
        <v>3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5</v>
      </c>
      <c r="P7" s="4">
        <v>7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110</v>
      </c>
      <c r="W7" s="4">
        <v>0</v>
      </c>
      <c r="X7" s="4">
        <v>10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0"/>
        <v>item_11006</v>
      </c>
      <c r="AL7" s="10" t="s">
        <v>257</v>
      </c>
      <c r="AM7" s="10" t="s">
        <v>277</v>
      </c>
      <c r="AN7" s="10" t="s">
        <v>278</v>
      </c>
      <c r="AS7" s="4">
        <v>16</v>
      </c>
      <c r="AT7" s="4" t="s">
        <v>45</v>
      </c>
    </row>
    <row r="8" spans="1:46" x14ac:dyDescent="0.3">
      <c r="A8" s="12" t="s">
        <v>203</v>
      </c>
      <c r="B8" s="10">
        <v>11007</v>
      </c>
      <c r="C8" s="9">
        <v>1</v>
      </c>
      <c r="D8" s="9">
        <v>1</v>
      </c>
      <c r="E8" s="15" t="s">
        <v>66</v>
      </c>
      <c r="F8" s="16" t="s">
        <v>265</v>
      </c>
      <c r="G8" s="4">
        <v>1</v>
      </c>
      <c r="H8" s="4">
        <v>0</v>
      </c>
      <c r="I8" s="4">
        <v>1</v>
      </c>
      <c r="J8" s="4">
        <v>0</v>
      </c>
      <c r="K8" s="4">
        <v>0</v>
      </c>
      <c r="L8" s="4">
        <v>0</v>
      </c>
      <c r="M8" s="4">
        <v>4</v>
      </c>
      <c r="N8" s="4">
        <v>1</v>
      </c>
      <c r="O8" s="4">
        <v>1</v>
      </c>
      <c r="P8" s="4">
        <v>3</v>
      </c>
      <c r="Q8" s="4">
        <v>0</v>
      </c>
      <c r="R8" s="4">
        <v>0</v>
      </c>
      <c r="S8" s="4">
        <v>0</v>
      </c>
      <c r="T8" s="4">
        <v>120</v>
      </c>
      <c r="U8" s="4">
        <v>60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0"/>
        <v>item_11007</v>
      </c>
      <c r="AL8" s="10" t="s">
        <v>7</v>
      </c>
      <c r="AM8" s="10" t="s">
        <v>279</v>
      </c>
      <c r="AN8" s="10" t="s">
        <v>280</v>
      </c>
      <c r="AS8" s="4">
        <v>32</v>
      </c>
      <c r="AT8" s="4" t="s">
        <v>47</v>
      </c>
    </row>
    <row r="9" spans="1:46" x14ac:dyDescent="0.3">
      <c r="A9" s="12" t="s">
        <v>203</v>
      </c>
      <c r="B9" s="10">
        <v>11008</v>
      </c>
      <c r="C9" s="9">
        <v>1</v>
      </c>
      <c r="D9" s="9">
        <v>1</v>
      </c>
      <c r="E9" s="15" t="s">
        <v>67</v>
      </c>
      <c r="F9" s="16" t="s">
        <v>266</v>
      </c>
      <c r="G9" s="4">
        <v>1</v>
      </c>
      <c r="H9" s="4">
        <v>0</v>
      </c>
      <c r="I9" s="4">
        <v>2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3</v>
      </c>
      <c r="P9" s="4">
        <v>5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0"/>
        <v>item_11008</v>
      </c>
      <c r="AL9" s="10" t="s">
        <v>16</v>
      </c>
      <c r="AM9" s="10" t="s">
        <v>281</v>
      </c>
      <c r="AN9" s="10" t="s">
        <v>280</v>
      </c>
      <c r="AS9" s="4">
        <v>64</v>
      </c>
      <c r="AT9" s="4" t="s">
        <v>48</v>
      </c>
    </row>
    <row r="10" spans="1:46" x14ac:dyDescent="0.3">
      <c r="A10" s="12" t="s">
        <v>203</v>
      </c>
      <c r="B10" s="10">
        <v>11009</v>
      </c>
      <c r="C10" s="9">
        <v>1</v>
      </c>
      <c r="D10" s="9">
        <v>1</v>
      </c>
      <c r="E10" s="15" t="s">
        <v>68</v>
      </c>
      <c r="F10" s="16" t="s">
        <v>267</v>
      </c>
      <c r="G10" s="4">
        <v>1</v>
      </c>
      <c r="H10" s="4">
        <v>0</v>
      </c>
      <c r="I10" s="4">
        <v>3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5</v>
      </c>
      <c r="P10" s="4">
        <v>7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107</v>
      </c>
      <c r="W10" s="4">
        <v>0</v>
      </c>
      <c r="X10" s="4">
        <v>10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0"/>
        <v>item_11009</v>
      </c>
      <c r="AL10" s="10" t="s">
        <v>8</v>
      </c>
      <c r="AM10" s="10" t="s">
        <v>282</v>
      </c>
      <c r="AN10" s="10" t="s">
        <v>273</v>
      </c>
      <c r="AS10" s="4">
        <v>128</v>
      </c>
      <c r="AT10" s="4" t="s">
        <v>49</v>
      </c>
    </row>
    <row r="11" spans="1:46" x14ac:dyDescent="0.3">
      <c r="A11" s="12" t="s">
        <v>203</v>
      </c>
      <c r="B11" s="10">
        <v>11010</v>
      </c>
      <c r="C11" s="9">
        <v>1</v>
      </c>
      <c r="D11" s="9">
        <v>1</v>
      </c>
      <c r="E11" s="15" t="s">
        <v>69</v>
      </c>
      <c r="F11" s="16" t="s">
        <v>268</v>
      </c>
      <c r="G11" s="4">
        <v>1</v>
      </c>
      <c r="H11" s="4">
        <v>0</v>
      </c>
      <c r="I11" s="4">
        <v>1</v>
      </c>
      <c r="J11" s="4">
        <v>0</v>
      </c>
      <c r="K11" s="4">
        <v>0</v>
      </c>
      <c r="L11" s="4">
        <v>0</v>
      </c>
      <c r="M11" s="4">
        <v>2</v>
      </c>
      <c r="N11" s="4">
        <v>1</v>
      </c>
      <c r="O11" s="4">
        <v>3</v>
      </c>
      <c r="P11" s="4">
        <v>5</v>
      </c>
      <c r="Q11" s="4">
        <v>0</v>
      </c>
      <c r="R11" s="4">
        <v>0</v>
      </c>
      <c r="S11" s="4">
        <v>0</v>
      </c>
      <c r="T11" s="4">
        <v>80</v>
      </c>
      <c r="U11" s="4">
        <v>150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0"/>
        <v>item_11010</v>
      </c>
      <c r="AL11" s="10" t="s">
        <v>9</v>
      </c>
      <c r="AM11" s="10" t="s">
        <v>34</v>
      </c>
      <c r="AN11" s="10" t="s">
        <v>273</v>
      </c>
      <c r="AS11" s="4">
        <v>256</v>
      </c>
      <c r="AT11" s="4" t="s">
        <v>50</v>
      </c>
    </row>
    <row r="12" spans="1:46" x14ac:dyDescent="0.3">
      <c r="A12" s="12" t="s">
        <v>203</v>
      </c>
      <c r="B12" s="10">
        <v>11011</v>
      </c>
      <c r="C12" s="9">
        <v>1</v>
      </c>
      <c r="D12" s="9">
        <v>1</v>
      </c>
      <c r="E12" s="15" t="s">
        <v>70</v>
      </c>
      <c r="F12" s="16" t="s">
        <v>269</v>
      </c>
      <c r="G12" s="4">
        <v>1</v>
      </c>
      <c r="H12" s="4">
        <v>0</v>
      </c>
      <c r="I12" s="4">
        <v>2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5</v>
      </c>
      <c r="P12" s="4">
        <v>7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0"/>
        <v>item_11011</v>
      </c>
      <c r="AL12" s="10" t="s">
        <v>10</v>
      </c>
      <c r="AM12" s="10" t="s">
        <v>35</v>
      </c>
      <c r="AN12" s="10" t="s">
        <v>273</v>
      </c>
      <c r="AS12" s="4">
        <v>512</v>
      </c>
      <c r="AT12" s="4" t="s">
        <v>51</v>
      </c>
    </row>
    <row r="13" spans="1:46" x14ac:dyDescent="0.3">
      <c r="A13" s="12" t="s">
        <v>203</v>
      </c>
      <c r="B13" s="10">
        <v>11012</v>
      </c>
      <c r="C13" s="9">
        <v>1</v>
      </c>
      <c r="D13" s="9">
        <v>1</v>
      </c>
      <c r="E13" s="15" t="s">
        <v>71</v>
      </c>
      <c r="F13" s="16">
        <v>0</v>
      </c>
      <c r="G13" s="4">
        <v>1</v>
      </c>
      <c r="H13" s="4">
        <v>0</v>
      </c>
      <c r="I13" s="4">
        <v>3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7</v>
      </c>
      <c r="P13" s="4">
        <v>9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113</v>
      </c>
      <c r="W13" s="4">
        <v>0</v>
      </c>
      <c r="X13" s="4">
        <v>15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0"/>
        <v>item_11012</v>
      </c>
      <c r="AL13" s="10" t="s">
        <v>258</v>
      </c>
      <c r="AM13" s="10" t="s">
        <v>283</v>
      </c>
      <c r="AN13" s="10" t="s">
        <v>278</v>
      </c>
      <c r="AS13" s="4">
        <v>1024</v>
      </c>
      <c r="AT13" s="4" t="s">
        <v>52</v>
      </c>
    </row>
    <row r="14" spans="1:46" x14ac:dyDescent="0.3">
      <c r="A14" s="12" t="s">
        <v>203</v>
      </c>
      <c r="B14" s="10">
        <v>11013</v>
      </c>
      <c r="C14" s="9">
        <v>1</v>
      </c>
      <c r="D14" s="9">
        <v>1</v>
      </c>
      <c r="E14" s="15" t="s">
        <v>72</v>
      </c>
      <c r="F14" s="16">
        <v>0</v>
      </c>
      <c r="G14" s="4">
        <v>1</v>
      </c>
      <c r="H14" s="4">
        <v>0</v>
      </c>
      <c r="I14" s="4">
        <v>1</v>
      </c>
      <c r="J14" s="4">
        <v>0</v>
      </c>
      <c r="K14" s="4">
        <v>0</v>
      </c>
      <c r="L14" s="4">
        <v>0</v>
      </c>
      <c r="M14" s="4">
        <v>16</v>
      </c>
      <c r="N14" s="4">
        <v>2</v>
      </c>
      <c r="O14" s="4">
        <v>1</v>
      </c>
      <c r="P14" s="4">
        <v>2</v>
      </c>
      <c r="Q14" s="4">
        <v>0</v>
      </c>
      <c r="R14" s="4">
        <v>0</v>
      </c>
      <c r="S14" s="4">
        <v>0</v>
      </c>
      <c r="T14" s="4">
        <v>100</v>
      </c>
      <c r="U14" s="4">
        <v>300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0"/>
        <v>item_11013</v>
      </c>
      <c r="AL14" s="10" t="s">
        <v>14</v>
      </c>
      <c r="AM14" s="10" t="s">
        <v>284</v>
      </c>
      <c r="AN14" s="10" t="s">
        <v>278</v>
      </c>
      <c r="AS14" s="4">
        <v>2048</v>
      </c>
      <c r="AT14" s="4" t="s">
        <v>53</v>
      </c>
    </row>
    <row r="15" spans="1:46" x14ac:dyDescent="0.3">
      <c r="A15" s="12" t="s">
        <v>203</v>
      </c>
      <c r="B15" s="10">
        <v>11014</v>
      </c>
      <c r="C15" s="9">
        <v>1</v>
      </c>
      <c r="D15" s="9">
        <v>1</v>
      </c>
      <c r="E15" s="15" t="s">
        <v>73</v>
      </c>
      <c r="F15" s="16">
        <v>0</v>
      </c>
      <c r="G15" s="4">
        <v>1</v>
      </c>
      <c r="H15" s="4">
        <v>0</v>
      </c>
      <c r="I15" s="4">
        <v>2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2</v>
      </c>
      <c r="P15" s="4">
        <v>3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0"/>
        <v>item_11014</v>
      </c>
      <c r="AL15" s="10" t="s">
        <v>12</v>
      </c>
      <c r="AM15" s="10" t="s">
        <v>285</v>
      </c>
      <c r="AN15" s="10" t="s">
        <v>280</v>
      </c>
      <c r="AS15" s="4">
        <v>511</v>
      </c>
      <c r="AT15" s="4" t="s">
        <v>54</v>
      </c>
    </row>
    <row r="16" spans="1:46" x14ac:dyDescent="0.3">
      <c r="A16" s="12" t="s">
        <v>203</v>
      </c>
      <c r="B16" s="10">
        <v>11015</v>
      </c>
      <c r="C16" s="9">
        <v>1</v>
      </c>
      <c r="D16" s="9">
        <v>1</v>
      </c>
      <c r="E16" s="15" t="s">
        <v>74</v>
      </c>
      <c r="F16" s="16">
        <v>0</v>
      </c>
      <c r="G16" s="4">
        <v>1</v>
      </c>
      <c r="H16" s="4">
        <v>0</v>
      </c>
      <c r="I16" s="4">
        <v>3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3</v>
      </c>
      <c r="P16" s="4">
        <v>4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115</v>
      </c>
      <c r="W16" s="4">
        <v>0</v>
      </c>
      <c r="X16" s="4">
        <v>30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0"/>
        <v>item_11015</v>
      </c>
      <c r="AL16" s="10" t="s">
        <v>13</v>
      </c>
      <c r="AM16" s="10" t="s">
        <v>286</v>
      </c>
      <c r="AN16" s="10" t="s">
        <v>280</v>
      </c>
      <c r="AS16" s="4">
        <v>3584</v>
      </c>
      <c r="AT16" s="4" t="s">
        <v>55</v>
      </c>
    </row>
    <row r="17" spans="1:46" x14ac:dyDescent="0.3">
      <c r="A17" s="12" t="s">
        <v>203</v>
      </c>
      <c r="B17" s="10">
        <v>11016</v>
      </c>
      <c r="C17" s="9">
        <v>1</v>
      </c>
      <c r="D17" s="9">
        <v>1</v>
      </c>
      <c r="E17" s="15" t="s">
        <v>204</v>
      </c>
      <c r="F17" s="16" t="s">
        <v>205</v>
      </c>
      <c r="G17" s="4">
        <v>1</v>
      </c>
      <c r="H17" s="4">
        <v>0</v>
      </c>
      <c r="I17" s="4">
        <v>5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100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0"/>
        <v>item_11016</v>
      </c>
      <c r="AL17" s="10" t="s">
        <v>249</v>
      </c>
      <c r="AM17" s="10" t="s">
        <v>287</v>
      </c>
      <c r="AN17" s="10" t="s">
        <v>280</v>
      </c>
      <c r="AS17" s="4">
        <v>4095</v>
      </c>
      <c r="AT17" s="4" t="s">
        <v>56</v>
      </c>
    </row>
    <row r="18" spans="1:46" x14ac:dyDescent="0.3">
      <c r="A18" s="12" t="s">
        <v>203</v>
      </c>
      <c r="B18" s="10">
        <v>11017</v>
      </c>
      <c r="C18" s="9">
        <v>1</v>
      </c>
      <c r="D18" s="9">
        <v>1</v>
      </c>
      <c r="E18" s="15" t="s">
        <v>206</v>
      </c>
      <c r="F18" s="16" t="s">
        <v>207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7</v>
      </c>
      <c r="P18" s="4">
        <v>9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0"/>
        <v>item_11017</v>
      </c>
      <c r="AL18" s="10" t="s">
        <v>250</v>
      </c>
      <c r="AM18" s="10" t="s">
        <v>288</v>
      </c>
      <c r="AN18" s="10" t="s">
        <v>280</v>
      </c>
    </row>
    <row r="19" spans="1:46" x14ac:dyDescent="0.3">
      <c r="A19" s="12" t="s">
        <v>203</v>
      </c>
      <c r="B19" s="10">
        <v>11018</v>
      </c>
      <c r="C19" s="9">
        <v>1</v>
      </c>
      <c r="D19" s="9">
        <v>1</v>
      </c>
      <c r="E19" s="15" t="s">
        <v>208</v>
      </c>
      <c r="F19" s="16" t="s">
        <v>209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8</v>
      </c>
      <c r="P19" s="4">
        <v>10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0"/>
        <v>item_11018</v>
      </c>
      <c r="AL19" s="10" t="s">
        <v>251</v>
      </c>
      <c r="AM19" s="10" t="s">
        <v>289</v>
      </c>
      <c r="AN19" s="10" t="s">
        <v>280</v>
      </c>
      <c r="AS19" s="25" t="s">
        <v>15</v>
      </c>
      <c r="AT19" s="25"/>
    </row>
    <row r="20" spans="1:46" x14ac:dyDescent="0.3">
      <c r="A20" s="12" t="s">
        <v>203</v>
      </c>
      <c r="B20" s="10">
        <v>11019</v>
      </c>
      <c r="C20" s="9">
        <v>1</v>
      </c>
      <c r="D20" s="9">
        <v>1</v>
      </c>
      <c r="E20" s="15" t="s">
        <v>210</v>
      </c>
      <c r="F20" s="16" t="s">
        <v>211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8</v>
      </c>
      <c r="N20" s="4">
        <v>1</v>
      </c>
      <c r="O20" s="4">
        <v>5</v>
      </c>
      <c r="P20" s="4">
        <v>5</v>
      </c>
      <c r="Q20" s="4">
        <v>0</v>
      </c>
      <c r="R20" s="4">
        <v>0</v>
      </c>
      <c r="S20" s="4">
        <v>0</v>
      </c>
      <c r="T20" s="4">
        <v>90</v>
      </c>
      <c r="U20" s="4">
        <v>300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0"/>
        <v>item_11019</v>
      </c>
      <c r="AL20" s="10" t="s">
        <v>252</v>
      </c>
      <c r="AM20" s="10" t="s">
        <v>290</v>
      </c>
      <c r="AN20" s="10" t="s">
        <v>291</v>
      </c>
      <c r="AS20" s="4">
        <v>1</v>
      </c>
      <c r="AT20" s="4" t="s">
        <v>57</v>
      </c>
    </row>
    <row r="21" spans="1:46" x14ac:dyDescent="0.3">
      <c r="A21" s="12" t="s">
        <v>203</v>
      </c>
      <c r="B21" s="10">
        <v>11020</v>
      </c>
      <c r="C21" s="9">
        <v>1</v>
      </c>
      <c r="D21" s="9">
        <v>1</v>
      </c>
      <c r="E21" s="15" t="s">
        <v>212</v>
      </c>
      <c r="F21" s="16" t="s">
        <v>213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7</v>
      </c>
      <c r="Q21" s="4">
        <v>0</v>
      </c>
      <c r="R21" s="4">
        <v>0</v>
      </c>
      <c r="S21" s="4">
        <v>0</v>
      </c>
      <c r="T21" s="4">
        <v>90</v>
      </c>
      <c r="U21" s="4">
        <v>400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0"/>
        <v>item_11020</v>
      </c>
      <c r="AL21" s="10" t="s">
        <v>253</v>
      </c>
      <c r="AM21" s="10" t="s">
        <v>292</v>
      </c>
      <c r="AN21" s="10" t="s">
        <v>291</v>
      </c>
      <c r="AS21" s="4">
        <v>2</v>
      </c>
      <c r="AT21" s="4" t="s">
        <v>58</v>
      </c>
    </row>
    <row r="22" spans="1:46" x14ac:dyDescent="0.3">
      <c r="A22" s="12" t="s">
        <v>203</v>
      </c>
      <c r="B22" s="10">
        <v>11021</v>
      </c>
      <c r="C22" s="9">
        <v>1</v>
      </c>
      <c r="D22" s="9">
        <v>1</v>
      </c>
      <c r="E22" s="15" t="s">
        <v>214</v>
      </c>
      <c r="F22" s="16" t="s">
        <v>215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10</v>
      </c>
      <c r="P22" s="4">
        <v>20</v>
      </c>
      <c r="Q22" s="4">
        <v>0</v>
      </c>
      <c r="R22" s="4">
        <v>0</v>
      </c>
      <c r="S22" s="4">
        <v>0</v>
      </c>
      <c r="T22" s="4">
        <v>50</v>
      </c>
      <c r="U22" s="4">
        <v>9999</v>
      </c>
      <c r="V22" s="4">
        <v>112</v>
      </c>
      <c r="W22" s="4">
        <v>0</v>
      </c>
      <c r="X22" s="4">
        <v>-90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0"/>
        <v>item_11021</v>
      </c>
      <c r="AL22" s="10" t="s">
        <v>17</v>
      </c>
      <c r="AM22" s="10" t="s">
        <v>293</v>
      </c>
      <c r="AN22" s="10" t="s">
        <v>278</v>
      </c>
      <c r="AS22" s="4">
        <v>3</v>
      </c>
      <c r="AT22" s="4" t="s">
        <v>59</v>
      </c>
    </row>
    <row r="23" spans="1:46" x14ac:dyDescent="0.3">
      <c r="A23" s="12" t="s">
        <v>203</v>
      </c>
      <c r="B23" s="10">
        <v>11022</v>
      </c>
      <c r="C23" s="9">
        <v>1</v>
      </c>
      <c r="D23" s="9">
        <v>1</v>
      </c>
      <c r="E23" s="15" t="s">
        <v>216</v>
      </c>
      <c r="F23" s="16" t="s">
        <v>217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4</v>
      </c>
      <c r="N23" s="4">
        <v>1</v>
      </c>
      <c r="O23" s="4">
        <v>7</v>
      </c>
      <c r="P23" s="4">
        <v>9</v>
      </c>
      <c r="Q23" s="4">
        <v>0</v>
      </c>
      <c r="R23" s="4">
        <v>0</v>
      </c>
      <c r="S23" s="4">
        <v>0</v>
      </c>
      <c r="T23" s="4">
        <v>120</v>
      </c>
      <c r="U23" s="4">
        <v>60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0"/>
        <v>item_11022</v>
      </c>
      <c r="AL23" s="10" t="s">
        <v>18</v>
      </c>
      <c r="AM23" s="10" t="s">
        <v>294</v>
      </c>
      <c r="AN23" s="10" t="s">
        <v>280</v>
      </c>
    </row>
    <row r="24" spans="1:46" x14ac:dyDescent="0.3">
      <c r="A24" s="12" t="s">
        <v>203</v>
      </c>
      <c r="B24" s="10">
        <v>11023</v>
      </c>
      <c r="C24" s="9">
        <v>1</v>
      </c>
      <c r="D24" s="9">
        <v>1</v>
      </c>
      <c r="E24" s="15" t="s">
        <v>218</v>
      </c>
      <c r="F24" s="16" t="s">
        <v>219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6</v>
      </c>
      <c r="P24" s="4">
        <v>8</v>
      </c>
      <c r="Q24" s="4">
        <v>0</v>
      </c>
      <c r="R24" s="4">
        <v>0</v>
      </c>
      <c r="S24" s="4">
        <v>0</v>
      </c>
      <c r="T24" s="4">
        <v>120</v>
      </c>
      <c r="U24" s="4">
        <v>50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0"/>
        <v>item_11023</v>
      </c>
      <c r="AL24" s="10" t="s">
        <v>19</v>
      </c>
      <c r="AM24" s="10" t="s">
        <v>295</v>
      </c>
      <c r="AN24" s="10" t="s">
        <v>280</v>
      </c>
    </row>
    <row r="25" spans="1:46" x14ac:dyDescent="0.3">
      <c r="A25" s="12" t="s">
        <v>203</v>
      </c>
      <c r="B25" s="10">
        <v>11024</v>
      </c>
      <c r="C25" s="9">
        <v>1</v>
      </c>
      <c r="D25" s="9">
        <v>1</v>
      </c>
      <c r="E25" s="15" t="s">
        <v>220</v>
      </c>
      <c r="F25" s="16" t="s">
        <v>221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5</v>
      </c>
      <c r="P25" s="4">
        <v>7</v>
      </c>
      <c r="Q25" s="4">
        <v>0</v>
      </c>
      <c r="R25" s="4">
        <v>0</v>
      </c>
      <c r="S25" s="4">
        <v>0</v>
      </c>
      <c r="T25" s="4">
        <v>100</v>
      </c>
      <c r="U25" s="4">
        <v>60</v>
      </c>
      <c r="V25" s="4">
        <v>122</v>
      </c>
      <c r="W25" s="4">
        <v>12</v>
      </c>
      <c r="X25" s="4">
        <v>1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0"/>
        <v>item_11024</v>
      </c>
      <c r="AL25" s="10" t="s">
        <v>20</v>
      </c>
      <c r="AM25" s="10" t="s">
        <v>36</v>
      </c>
      <c r="AN25" s="10" t="s">
        <v>278</v>
      </c>
    </row>
    <row r="26" spans="1:46" x14ac:dyDescent="0.3">
      <c r="A26" s="12" t="s">
        <v>203</v>
      </c>
      <c r="B26" s="10">
        <v>11025</v>
      </c>
      <c r="C26" s="9">
        <v>1</v>
      </c>
      <c r="D26" s="9">
        <v>1</v>
      </c>
      <c r="E26" s="15" t="s">
        <v>222</v>
      </c>
      <c r="F26" s="16" t="s">
        <v>223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2</v>
      </c>
      <c r="N26" s="4">
        <v>1</v>
      </c>
      <c r="O26" s="4">
        <v>9</v>
      </c>
      <c r="P26" s="4">
        <v>11</v>
      </c>
      <c r="Q26" s="4">
        <v>0</v>
      </c>
      <c r="R26" s="4">
        <v>0</v>
      </c>
      <c r="S26" s="4">
        <v>0</v>
      </c>
      <c r="T26" s="4">
        <v>80</v>
      </c>
      <c r="U26" s="4">
        <v>150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0"/>
        <v>item_11025</v>
      </c>
      <c r="AL26" s="10" t="s">
        <v>21</v>
      </c>
      <c r="AM26" s="10" t="s">
        <v>294</v>
      </c>
      <c r="AN26" s="10" t="s">
        <v>280</v>
      </c>
    </row>
    <row r="27" spans="1:46" x14ac:dyDescent="0.3">
      <c r="A27" s="12" t="s">
        <v>203</v>
      </c>
      <c r="B27" s="10">
        <v>11026</v>
      </c>
      <c r="C27" s="9">
        <v>1</v>
      </c>
      <c r="D27" s="9">
        <v>1</v>
      </c>
      <c r="E27" s="15" t="s">
        <v>224</v>
      </c>
      <c r="F27" s="16" t="s">
        <v>225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10</v>
      </c>
      <c r="P27" s="4">
        <v>10</v>
      </c>
      <c r="Q27" s="4">
        <v>0</v>
      </c>
      <c r="R27" s="4">
        <v>0</v>
      </c>
      <c r="S27" s="4">
        <v>0</v>
      </c>
      <c r="T27" s="4">
        <v>80</v>
      </c>
      <c r="U27" s="4">
        <v>130</v>
      </c>
      <c r="V27" s="4">
        <v>113</v>
      </c>
      <c r="W27" s="4">
        <v>0</v>
      </c>
      <c r="X27" s="4">
        <v>50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0"/>
        <v>item_11026</v>
      </c>
      <c r="AL27" s="10" t="s">
        <v>22</v>
      </c>
      <c r="AM27" s="10" t="s">
        <v>295</v>
      </c>
      <c r="AN27" s="10" t="s">
        <v>280</v>
      </c>
    </row>
    <row r="28" spans="1:46" x14ac:dyDescent="0.3">
      <c r="A28" s="12" t="s">
        <v>203</v>
      </c>
      <c r="B28" s="10">
        <v>11027</v>
      </c>
      <c r="C28" s="9">
        <v>1</v>
      </c>
      <c r="D28" s="9">
        <v>1</v>
      </c>
      <c r="E28" s="15" t="s">
        <v>226</v>
      </c>
      <c r="F28" s="16" t="s">
        <v>227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11</v>
      </c>
      <c r="P28" s="4">
        <v>13</v>
      </c>
      <c r="Q28" s="4">
        <v>0</v>
      </c>
      <c r="R28" s="4">
        <v>0</v>
      </c>
      <c r="S28" s="4">
        <v>0</v>
      </c>
      <c r="T28" s="4">
        <v>70</v>
      </c>
      <c r="U28" s="4">
        <v>200</v>
      </c>
      <c r="V28" s="4">
        <v>107</v>
      </c>
      <c r="W28" s="4">
        <v>0</v>
      </c>
      <c r="X28" s="4">
        <v>-10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0"/>
        <v>item_11027</v>
      </c>
      <c r="AL28" s="10" t="s">
        <v>23</v>
      </c>
      <c r="AM28" s="10" t="s">
        <v>37</v>
      </c>
      <c r="AN28" s="10" t="s">
        <v>278</v>
      </c>
    </row>
    <row r="29" spans="1:46" x14ac:dyDescent="0.3">
      <c r="A29" s="12" t="s">
        <v>203</v>
      </c>
      <c r="B29" s="10">
        <v>11028</v>
      </c>
      <c r="C29" s="9">
        <v>1</v>
      </c>
      <c r="D29" s="9">
        <v>1</v>
      </c>
      <c r="E29" s="15" t="s">
        <v>228</v>
      </c>
      <c r="F29" s="16" t="s">
        <v>229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16</v>
      </c>
      <c r="N29" s="4">
        <v>2</v>
      </c>
      <c r="O29" s="4">
        <v>5</v>
      </c>
      <c r="P29" s="4">
        <v>7</v>
      </c>
      <c r="Q29" s="4">
        <v>0</v>
      </c>
      <c r="R29" s="4">
        <v>0</v>
      </c>
      <c r="S29" s="4">
        <v>0</v>
      </c>
      <c r="T29" s="4">
        <v>100</v>
      </c>
      <c r="U29" s="4">
        <v>300</v>
      </c>
      <c r="V29" s="4">
        <v>124</v>
      </c>
      <c r="W29" s="4">
        <v>0</v>
      </c>
      <c r="X29" s="4">
        <v>50</v>
      </c>
      <c r="Y29" s="4">
        <v>113</v>
      </c>
      <c r="Z29" s="4">
        <v>0</v>
      </c>
      <c r="AA29" s="4">
        <v>-50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0"/>
        <v>item_11028</v>
      </c>
      <c r="AL29" s="10" t="s">
        <v>24</v>
      </c>
      <c r="AM29" s="10" t="s">
        <v>294</v>
      </c>
      <c r="AN29" s="10" t="s">
        <v>280</v>
      </c>
    </row>
    <row r="30" spans="1:46" x14ac:dyDescent="0.3">
      <c r="A30" s="12" t="s">
        <v>203</v>
      </c>
      <c r="B30" s="10">
        <v>11029</v>
      </c>
      <c r="C30" s="9">
        <v>1</v>
      </c>
      <c r="D30" s="9">
        <v>1</v>
      </c>
      <c r="E30" s="15" t="s">
        <v>230</v>
      </c>
      <c r="F30" s="16" t="s">
        <v>231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6</v>
      </c>
      <c r="P30" s="4">
        <v>6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113</v>
      </c>
      <c r="W30" s="4">
        <v>0</v>
      </c>
      <c r="X30" s="4">
        <v>100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0"/>
        <v>item_11029</v>
      </c>
      <c r="AL30" s="10" t="s">
        <v>25</v>
      </c>
      <c r="AM30" s="10" t="s">
        <v>295</v>
      </c>
      <c r="AN30" s="10" t="s">
        <v>280</v>
      </c>
    </row>
    <row r="31" spans="1:46" x14ac:dyDescent="0.3">
      <c r="A31" s="12" t="s">
        <v>203</v>
      </c>
      <c r="B31" s="10">
        <v>11030</v>
      </c>
      <c r="C31" s="9">
        <v>1</v>
      </c>
      <c r="D31" s="9">
        <v>1</v>
      </c>
      <c r="E31" s="15" t="s">
        <v>232</v>
      </c>
      <c r="F31" s="16" t="s">
        <v>233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5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0"/>
        <v>item_11030</v>
      </c>
      <c r="AL31" s="10" t="s">
        <v>26</v>
      </c>
      <c r="AM31" s="10" t="s">
        <v>38</v>
      </c>
      <c r="AN31" s="10" t="s">
        <v>278</v>
      </c>
    </row>
    <row r="32" spans="1:46" x14ac:dyDescent="0.3">
      <c r="A32" s="19" t="s">
        <v>203</v>
      </c>
      <c r="B32" s="19">
        <v>11031</v>
      </c>
      <c r="C32" s="20">
        <v>1</v>
      </c>
      <c r="D32" s="20">
        <v>1</v>
      </c>
      <c r="E32" s="20" t="s">
        <v>306</v>
      </c>
      <c r="F32" s="21" t="s">
        <v>307</v>
      </c>
      <c r="G32" s="21">
        <v>1</v>
      </c>
      <c r="H32" s="21">
        <v>0</v>
      </c>
      <c r="I32" s="21">
        <v>4</v>
      </c>
      <c r="J32" s="21">
        <v>0</v>
      </c>
      <c r="K32" s="21">
        <v>0</v>
      </c>
      <c r="L32" s="21">
        <v>0</v>
      </c>
      <c r="M32" s="21">
        <v>1</v>
      </c>
      <c r="N32" s="21">
        <v>1</v>
      </c>
      <c r="O32" s="21">
        <v>1</v>
      </c>
      <c r="P32" s="21">
        <v>1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 t="str">
        <f t="shared" si="0"/>
        <v>item_11031</v>
      </c>
      <c r="AL32" s="10" t="s">
        <v>27</v>
      </c>
      <c r="AM32" s="10" t="s">
        <v>294</v>
      </c>
      <c r="AN32" s="10" t="s">
        <v>280</v>
      </c>
    </row>
    <row r="33" spans="1:40" x14ac:dyDescent="0.3">
      <c r="A33" s="19" t="s">
        <v>203</v>
      </c>
      <c r="B33" s="19">
        <v>11032</v>
      </c>
      <c r="C33" s="20">
        <v>1</v>
      </c>
      <c r="D33" s="20">
        <v>1</v>
      </c>
      <c r="E33" s="20" t="s">
        <v>306</v>
      </c>
      <c r="F33" s="21" t="s">
        <v>307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0"/>
        <v>item_11032</v>
      </c>
      <c r="AL33" s="10" t="s">
        <v>28</v>
      </c>
      <c r="AM33" s="10" t="s">
        <v>295</v>
      </c>
      <c r="AN33" s="10" t="s">
        <v>280</v>
      </c>
    </row>
    <row r="34" spans="1:40" x14ac:dyDescent="0.3">
      <c r="A34" s="19" t="s">
        <v>203</v>
      </c>
      <c r="B34" s="19">
        <v>11033</v>
      </c>
      <c r="C34" s="20">
        <v>1</v>
      </c>
      <c r="D34" s="20">
        <v>1</v>
      </c>
      <c r="E34" s="20" t="s">
        <v>306</v>
      </c>
      <c r="F34" s="21" t="s">
        <v>307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0"/>
        <v>item_11033</v>
      </c>
      <c r="AL34" s="10" t="s">
        <v>29</v>
      </c>
      <c r="AM34" s="10" t="s">
        <v>296</v>
      </c>
      <c r="AN34" s="10" t="s">
        <v>297</v>
      </c>
    </row>
    <row r="35" spans="1:40" x14ac:dyDescent="0.3">
      <c r="A35" s="19" t="s">
        <v>203</v>
      </c>
      <c r="B35" s="19">
        <v>11034</v>
      </c>
      <c r="C35" s="20">
        <v>1</v>
      </c>
      <c r="D35" s="20">
        <v>1</v>
      </c>
      <c r="E35" s="20" t="s">
        <v>306</v>
      </c>
      <c r="F35" s="21" t="s">
        <v>307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0"/>
        <v>item_11034</v>
      </c>
    </row>
    <row r="36" spans="1:40" x14ac:dyDescent="0.3">
      <c r="A36" s="19" t="s">
        <v>203</v>
      </c>
      <c r="B36" s="19">
        <v>11035</v>
      </c>
      <c r="C36" s="20">
        <v>1</v>
      </c>
      <c r="D36" s="20">
        <v>1</v>
      </c>
      <c r="E36" s="20" t="s">
        <v>306</v>
      </c>
      <c r="F36" s="21" t="s">
        <v>307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0"/>
        <v>item_11035</v>
      </c>
    </row>
    <row r="37" spans="1:40" x14ac:dyDescent="0.3">
      <c r="A37" s="19" t="s">
        <v>203</v>
      </c>
      <c r="B37" s="19">
        <v>11036</v>
      </c>
      <c r="C37" s="20">
        <v>1</v>
      </c>
      <c r="D37" s="20">
        <v>1</v>
      </c>
      <c r="E37" s="20" t="s">
        <v>306</v>
      </c>
      <c r="F37" s="21" t="s">
        <v>307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0"/>
        <v>item_11036</v>
      </c>
      <c r="AL37" s="3" t="s">
        <v>85</v>
      </c>
      <c r="AM37" s="3" t="s">
        <v>86</v>
      </c>
    </row>
    <row r="38" spans="1:40" x14ac:dyDescent="0.3">
      <c r="A38" s="19" t="s">
        <v>203</v>
      </c>
      <c r="B38" s="19">
        <v>11037</v>
      </c>
      <c r="C38" s="20">
        <v>1</v>
      </c>
      <c r="D38" s="20">
        <v>1</v>
      </c>
      <c r="E38" s="20" t="s">
        <v>306</v>
      </c>
      <c r="F38" s="21" t="s">
        <v>307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0"/>
        <v>item_11037</v>
      </c>
    </row>
    <row r="39" spans="1:40" x14ac:dyDescent="0.3">
      <c r="A39" s="19" t="s">
        <v>203</v>
      </c>
      <c r="B39" s="19">
        <v>11038</v>
      </c>
      <c r="C39" s="20">
        <v>1</v>
      </c>
      <c r="D39" s="20">
        <v>1</v>
      </c>
      <c r="E39" s="20" t="s">
        <v>306</v>
      </c>
      <c r="F39" s="21" t="s">
        <v>307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0"/>
        <v>item_11038</v>
      </c>
    </row>
    <row r="40" spans="1:40" x14ac:dyDescent="0.3">
      <c r="A40" s="19" t="s">
        <v>203</v>
      </c>
      <c r="B40" s="19">
        <v>11039</v>
      </c>
      <c r="C40" s="20">
        <v>1</v>
      </c>
      <c r="D40" s="20">
        <v>1</v>
      </c>
      <c r="E40" s="20" t="s">
        <v>306</v>
      </c>
      <c r="F40" s="21" t="s">
        <v>307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0"/>
        <v>item_11039</v>
      </c>
      <c r="AL40" s="3" t="s">
        <v>76</v>
      </c>
      <c r="AM40" s="3" t="s">
        <v>84</v>
      </c>
    </row>
    <row r="41" spans="1:40" x14ac:dyDescent="0.3">
      <c r="A41" s="19" t="s">
        <v>203</v>
      </c>
      <c r="B41" s="19">
        <v>11040</v>
      </c>
      <c r="C41" s="20">
        <v>1</v>
      </c>
      <c r="D41" s="20">
        <v>1</v>
      </c>
      <c r="E41" s="20" t="s">
        <v>306</v>
      </c>
      <c r="F41" s="21" t="s">
        <v>307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0"/>
        <v>item_11040</v>
      </c>
      <c r="AL41" s="3" t="s">
        <v>77</v>
      </c>
      <c r="AM41" s="3" t="s">
        <v>78</v>
      </c>
    </row>
    <row r="42" spans="1:40" x14ac:dyDescent="0.3">
      <c r="A42" s="12" t="s">
        <v>234</v>
      </c>
      <c r="B42" s="10">
        <v>12001</v>
      </c>
      <c r="C42" s="9">
        <v>1</v>
      </c>
      <c r="D42" s="9">
        <v>1</v>
      </c>
      <c r="E42" s="15" t="s">
        <v>235</v>
      </c>
      <c r="F42" s="16" t="s">
        <v>236</v>
      </c>
      <c r="G42" s="4">
        <v>1</v>
      </c>
      <c r="H42" s="4">
        <v>0</v>
      </c>
      <c r="I42" s="4">
        <v>1</v>
      </c>
      <c r="J42" s="4">
        <v>0</v>
      </c>
      <c r="K42" s="4">
        <v>0</v>
      </c>
      <c r="L42" s="4">
        <v>0</v>
      </c>
      <c r="M42" s="4">
        <v>512</v>
      </c>
      <c r="N42" s="4">
        <v>0</v>
      </c>
      <c r="O42" s="4">
        <v>0</v>
      </c>
      <c r="P42" s="4">
        <v>0</v>
      </c>
      <c r="Q42" s="4">
        <v>1</v>
      </c>
      <c r="R42" s="4">
        <v>1</v>
      </c>
      <c r="S42" s="4">
        <v>1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 t="str">
        <f t="shared" si="0"/>
        <v>item_12001</v>
      </c>
      <c r="AL42" s="3" t="s">
        <v>75</v>
      </c>
      <c r="AM42" s="3" t="s">
        <v>80</v>
      </c>
    </row>
    <row r="43" spans="1:40" x14ac:dyDescent="0.3">
      <c r="A43" s="12" t="s">
        <v>234</v>
      </c>
      <c r="B43" s="10">
        <v>12002</v>
      </c>
      <c r="C43" s="9">
        <v>1</v>
      </c>
      <c r="D43" s="9">
        <v>1</v>
      </c>
      <c r="E43" s="15" t="s">
        <v>237</v>
      </c>
      <c r="F43" s="16" t="s">
        <v>238</v>
      </c>
      <c r="G43" s="4">
        <v>1</v>
      </c>
      <c r="H43" s="4">
        <v>0</v>
      </c>
      <c r="I43" s="4">
        <v>2</v>
      </c>
      <c r="J43" s="4">
        <v>0</v>
      </c>
      <c r="K43" s="4">
        <v>0</v>
      </c>
      <c r="L43" s="4">
        <v>0</v>
      </c>
      <c r="M43" s="4">
        <v>512</v>
      </c>
      <c r="N43" s="4">
        <v>0</v>
      </c>
      <c r="O43" s="4">
        <v>0</v>
      </c>
      <c r="P43" s="4">
        <v>0</v>
      </c>
      <c r="Q43" s="4">
        <v>3</v>
      </c>
      <c r="R43" s="4">
        <v>2</v>
      </c>
      <c r="S43" s="4">
        <v>2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0"/>
        <v>item_12002</v>
      </c>
      <c r="AL43" s="3" t="s">
        <v>79</v>
      </c>
      <c r="AM43" s="3" t="s">
        <v>81</v>
      </c>
    </row>
    <row r="44" spans="1:40" x14ac:dyDescent="0.3">
      <c r="A44" s="12" t="s">
        <v>234</v>
      </c>
      <c r="B44" s="10">
        <v>12003</v>
      </c>
      <c r="C44" s="9">
        <v>1</v>
      </c>
      <c r="D44" s="9">
        <v>1</v>
      </c>
      <c r="E44" s="15" t="s">
        <v>239</v>
      </c>
      <c r="F44" s="16" t="s">
        <v>240</v>
      </c>
      <c r="G44" s="4">
        <v>1</v>
      </c>
      <c r="H44" s="4">
        <v>0</v>
      </c>
      <c r="I44" s="4">
        <v>3</v>
      </c>
      <c r="J44" s="4">
        <v>0</v>
      </c>
      <c r="K44" s="4">
        <v>0</v>
      </c>
      <c r="L44" s="4">
        <v>0</v>
      </c>
      <c r="M44" s="4">
        <v>512</v>
      </c>
      <c r="N44" s="4">
        <v>0</v>
      </c>
      <c r="O44" s="4">
        <v>0</v>
      </c>
      <c r="P44" s="4">
        <v>0</v>
      </c>
      <c r="Q44" s="4">
        <v>5</v>
      </c>
      <c r="R44" s="4">
        <v>3</v>
      </c>
      <c r="S44" s="4">
        <v>3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0"/>
        <v>item_12003</v>
      </c>
      <c r="AL44" s="3" t="s">
        <v>82</v>
      </c>
      <c r="AM44" s="3" t="s">
        <v>83</v>
      </c>
    </row>
    <row r="45" spans="1:40" x14ac:dyDescent="0.3">
      <c r="A45" s="12" t="s">
        <v>234</v>
      </c>
      <c r="B45" s="10">
        <v>12004</v>
      </c>
      <c r="C45" s="9">
        <v>1</v>
      </c>
      <c r="D45" s="9">
        <v>1</v>
      </c>
      <c r="E45" s="15" t="s">
        <v>241</v>
      </c>
      <c r="F45" s="16" t="s">
        <v>242</v>
      </c>
      <c r="G45" s="4">
        <v>1</v>
      </c>
      <c r="H45" s="4">
        <v>0</v>
      </c>
      <c r="I45" s="4">
        <v>1</v>
      </c>
      <c r="J45" s="4">
        <v>0</v>
      </c>
      <c r="K45" s="4">
        <v>0</v>
      </c>
      <c r="L45" s="4">
        <v>0</v>
      </c>
      <c r="M45" s="4">
        <v>1024</v>
      </c>
      <c r="N45" s="4">
        <v>0</v>
      </c>
      <c r="O45" s="4">
        <v>0</v>
      </c>
      <c r="P45" s="4">
        <v>0</v>
      </c>
      <c r="Q45" s="4">
        <v>1</v>
      </c>
      <c r="R45" s="4">
        <v>1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0"/>
        <v>item_12004</v>
      </c>
      <c r="AL45" s="3" t="s">
        <v>308</v>
      </c>
      <c r="AM45" s="3" t="s">
        <v>309</v>
      </c>
    </row>
    <row r="46" spans="1:40" x14ac:dyDescent="0.3">
      <c r="A46" s="12" t="s">
        <v>234</v>
      </c>
      <c r="B46" s="10">
        <v>12005</v>
      </c>
      <c r="C46" s="9">
        <v>1</v>
      </c>
      <c r="D46" s="9">
        <v>1</v>
      </c>
      <c r="E46" s="15" t="s">
        <v>243</v>
      </c>
      <c r="F46" s="16" t="s">
        <v>238</v>
      </c>
      <c r="G46" s="4">
        <v>1</v>
      </c>
      <c r="H46" s="4">
        <v>0</v>
      </c>
      <c r="I46" s="4">
        <v>2</v>
      </c>
      <c r="J46" s="4">
        <v>0</v>
      </c>
      <c r="K46" s="4">
        <v>0</v>
      </c>
      <c r="L46" s="4">
        <v>0</v>
      </c>
      <c r="M46" s="4">
        <v>1024</v>
      </c>
      <c r="N46" s="4">
        <v>0</v>
      </c>
      <c r="O46" s="4">
        <v>0</v>
      </c>
      <c r="P46" s="4">
        <v>0</v>
      </c>
      <c r="Q46" s="4">
        <v>2</v>
      </c>
      <c r="R46" s="4">
        <v>3</v>
      </c>
      <c r="S46" s="4">
        <v>3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0"/>
        <v>item_12005</v>
      </c>
      <c r="AL46" s="3" t="s">
        <v>321</v>
      </c>
      <c r="AM46" s="3" t="s">
        <v>322</v>
      </c>
    </row>
    <row r="47" spans="1:40" x14ac:dyDescent="0.3">
      <c r="A47" s="12" t="s">
        <v>234</v>
      </c>
      <c r="B47" s="10">
        <v>12006</v>
      </c>
      <c r="C47" s="9">
        <v>1</v>
      </c>
      <c r="D47" s="9">
        <v>1</v>
      </c>
      <c r="E47" s="15" t="s">
        <v>244</v>
      </c>
      <c r="F47" s="16" t="s">
        <v>240</v>
      </c>
      <c r="G47" s="4">
        <v>1</v>
      </c>
      <c r="H47" s="4">
        <v>0</v>
      </c>
      <c r="I47" s="4">
        <v>3</v>
      </c>
      <c r="J47" s="4">
        <v>0</v>
      </c>
      <c r="K47" s="4">
        <v>0</v>
      </c>
      <c r="L47" s="4">
        <v>0</v>
      </c>
      <c r="M47" s="4">
        <v>1024</v>
      </c>
      <c r="N47" s="4">
        <v>0</v>
      </c>
      <c r="O47" s="4">
        <v>0</v>
      </c>
      <c r="P47" s="4">
        <v>0</v>
      </c>
      <c r="Q47" s="4">
        <v>3</v>
      </c>
      <c r="R47" s="4">
        <v>5</v>
      </c>
      <c r="S47" s="4">
        <v>5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 t="str">
        <f t="shared" si="0"/>
        <v>item_12006</v>
      </c>
    </row>
    <row r="48" spans="1:40" x14ac:dyDescent="0.3">
      <c r="A48" s="12" t="s">
        <v>234</v>
      </c>
      <c r="B48" s="10">
        <v>12007</v>
      </c>
      <c r="C48" s="9">
        <v>1</v>
      </c>
      <c r="D48" s="9">
        <v>1</v>
      </c>
      <c r="E48" s="15" t="s">
        <v>245</v>
      </c>
      <c r="F48" s="16">
        <v>0</v>
      </c>
      <c r="G48" s="4">
        <v>1</v>
      </c>
      <c r="H48" s="4">
        <v>0</v>
      </c>
      <c r="I48" s="4">
        <v>1</v>
      </c>
      <c r="J48" s="4">
        <v>0</v>
      </c>
      <c r="K48" s="4">
        <v>0</v>
      </c>
      <c r="L48" s="4">
        <v>0</v>
      </c>
      <c r="M48" s="4">
        <v>2048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104</v>
      </c>
      <c r="W48" s="4">
        <v>2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 t="str">
        <f t="shared" si="0"/>
        <v>item_12007</v>
      </c>
    </row>
    <row r="49" spans="1:41" x14ac:dyDescent="0.3">
      <c r="A49" s="12" t="s">
        <v>234</v>
      </c>
      <c r="B49" s="10">
        <v>12008</v>
      </c>
      <c r="C49" s="9">
        <v>1</v>
      </c>
      <c r="D49" s="9">
        <v>1</v>
      </c>
      <c r="E49" s="15" t="s">
        <v>246</v>
      </c>
      <c r="F49" s="16">
        <v>0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2048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104</v>
      </c>
      <c r="W49" s="4">
        <v>2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0"/>
        <v>item_12008</v>
      </c>
    </row>
    <row r="50" spans="1:41" x14ac:dyDescent="0.3">
      <c r="A50" s="12" t="s">
        <v>234</v>
      </c>
      <c r="B50" s="10">
        <v>12009</v>
      </c>
      <c r="C50" s="9">
        <v>1</v>
      </c>
      <c r="D50" s="9">
        <v>1</v>
      </c>
      <c r="E50" s="15" t="s">
        <v>247</v>
      </c>
      <c r="F50" s="16">
        <v>0</v>
      </c>
      <c r="G50" s="4">
        <v>1</v>
      </c>
      <c r="H50" s="4">
        <v>0</v>
      </c>
      <c r="I50" s="4">
        <v>1</v>
      </c>
      <c r="J50" s="4">
        <v>0</v>
      </c>
      <c r="K50" s="4">
        <v>0</v>
      </c>
      <c r="L50" s="4">
        <v>0</v>
      </c>
      <c r="M50" s="4">
        <v>2048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101</v>
      </c>
      <c r="W50" s="4">
        <v>2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0"/>
        <v>item_12009</v>
      </c>
    </row>
    <row r="51" spans="1:41" x14ac:dyDescent="0.3">
      <c r="A51" s="12" t="s">
        <v>234</v>
      </c>
      <c r="B51" s="10">
        <v>12010</v>
      </c>
      <c r="C51" s="9">
        <v>1</v>
      </c>
      <c r="D51" s="9">
        <v>1</v>
      </c>
      <c r="E51" s="15" t="s">
        <v>248</v>
      </c>
      <c r="F51" s="16">
        <v>0</v>
      </c>
      <c r="G51" s="4">
        <v>1</v>
      </c>
      <c r="H51" s="4">
        <v>0</v>
      </c>
      <c r="I51" s="4">
        <v>1</v>
      </c>
      <c r="J51" s="4">
        <v>0</v>
      </c>
      <c r="K51" s="4">
        <v>0</v>
      </c>
      <c r="L51" s="4">
        <v>0</v>
      </c>
      <c r="M51" s="4">
        <v>2048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101</v>
      </c>
      <c r="W51" s="4">
        <v>2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0"/>
        <v>item_12010</v>
      </c>
      <c r="AL51" s="28" t="s">
        <v>326</v>
      </c>
      <c r="AM51" s="29"/>
      <c r="AN51" s="29"/>
      <c r="AO51" s="30"/>
    </row>
    <row r="52" spans="1:41" x14ac:dyDescent="0.3">
      <c r="A52" s="12" t="s">
        <v>234</v>
      </c>
      <c r="B52" s="10">
        <v>12011</v>
      </c>
      <c r="C52" s="9">
        <v>1</v>
      </c>
      <c r="D52" s="9">
        <v>1</v>
      </c>
      <c r="E52" s="15" t="s">
        <v>324</v>
      </c>
      <c r="F52" s="16">
        <v>0</v>
      </c>
      <c r="G52" s="4">
        <v>1</v>
      </c>
      <c r="H52" s="4">
        <v>0</v>
      </c>
      <c r="I52" s="4">
        <v>5</v>
      </c>
      <c r="J52" s="4">
        <v>100</v>
      </c>
      <c r="K52" s="4">
        <v>0</v>
      </c>
      <c r="L52" s="4">
        <v>0</v>
      </c>
      <c r="M52" s="4">
        <v>2048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131</v>
      </c>
      <c r="W52" s="4">
        <v>90001</v>
      </c>
      <c r="X52" s="4">
        <v>1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0"/>
        <v>item_12011</v>
      </c>
      <c r="AL52" s="28" t="s">
        <v>327</v>
      </c>
      <c r="AM52" s="30"/>
      <c r="AN52" s="1" t="s">
        <v>328</v>
      </c>
      <c r="AO52" s="1" t="s">
        <v>329</v>
      </c>
    </row>
    <row r="53" spans="1:41" x14ac:dyDescent="0.3">
      <c r="A53" s="12" t="s">
        <v>234</v>
      </c>
      <c r="B53" s="10">
        <v>12012</v>
      </c>
      <c r="C53" s="9">
        <v>1</v>
      </c>
      <c r="D53" s="9">
        <v>1</v>
      </c>
      <c r="E53" s="15" t="s">
        <v>399</v>
      </c>
      <c r="F53" s="16">
        <v>0</v>
      </c>
      <c r="G53" s="4">
        <v>1</v>
      </c>
      <c r="H53" s="4">
        <v>0</v>
      </c>
      <c r="I53" s="4">
        <v>4</v>
      </c>
      <c r="J53" s="4">
        <v>0</v>
      </c>
      <c r="K53" s="4">
        <v>0</v>
      </c>
      <c r="L53" s="4">
        <v>0</v>
      </c>
      <c r="M53" s="4">
        <v>2048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105</v>
      </c>
      <c r="W53" s="4">
        <v>5</v>
      </c>
      <c r="X53" s="4">
        <v>0</v>
      </c>
      <c r="Y53" s="4">
        <v>123</v>
      </c>
      <c r="Z53" s="4">
        <v>16</v>
      </c>
      <c r="AA53" s="4">
        <v>100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0"/>
        <v>item_12012</v>
      </c>
      <c r="AL53" s="4">
        <v>1</v>
      </c>
      <c r="AM53" s="4" t="s">
        <v>330</v>
      </c>
      <c r="AN53" s="4" t="s">
        <v>280</v>
      </c>
      <c r="AO53" s="4">
        <v>0</v>
      </c>
    </row>
    <row r="54" spans="1:41" x14ac:dyDescent="0.3">
      <c r="A54" s="12" t="s">
        <v>234</v>
      </c>
      <c r="B54" s="10">
        <v>12013</v>
      </c>
      <c r="C54" s="9">
        <v>1</v>
      </c>
      <c r="D54" s="9">
        <v>1</v>
      </c>
      <c r="E54" s="15" t="s">
        <v>400</v>
      </c>
      <c r="F54" s="16">
        <v>0</v>
      </c>
      <c r="G54" s="4">
        <v>1</v>
      </c>
      <c r="H54" s="4">
        <v>0</v>
      </c>
      <c r="I54" s="4">
        <v>5</v>
      </c>
      <c r="J54" s="4">
        <v>0</v>
      </c>
      <c r="K54" s="4">
        <v>0</v>
      </c>
      <c r="L54" s="4">
        <v>0</v>
      </c>
      <c r="M54" s="4">
        <v>2048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109</v>
      </c>
      <c r="W54" s="4">
        <v>0</v>
      </c>
      <c r="X54" s="4">
        <v>150</v>
      </c>
      <c r="Y54" s="4">
        <v>112</v>
      </c>
      <c r="Z54" s="4">
        <v>0</v>
      </c>
      <c r="AA54" s="4">
        <v>150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ref="AH54:AH56" si="1">"item_"&amp;B54</f>
        <v>item_12013</v>
      </c>
      <c r="AL54" s="4">
        <v>2</v>
      </c>
      <c r="AM54" s="4" t="s">
        <v>331</v>
      </c>
      <c r="AN54" s="4">
        <v>0</v>
      </c>
      <c r="AO54" s="4" t="s">
        <v>291</v>
      </c>
    </row>
    <row r="55" spans="1:41" x14ac:dyDescent="0.3">
      <c r="A55" s="12" t="s">
        <v>234</v>
      </c>
      <c r="B55" s="10">
        <v>12014</v>
      </c>
      <c r="C55" s="9">
        <v>1</v>
      </c>
      <c r="D55" s="9">
        <v>1</v>
      </c>
      <c r="E55" s="15" t="s">
        <v>401</v>
      </c>
      <c r="F55" s="16">
        <v>0</v>
      </c>
      <c r="G55" s="4">
        <v>1</v>
      </c>
      <c r="H55" s="4">
        <v>0</v>
      </c>
      <c r="I55" s="4">
        <v>5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112</v>
      </c>
      <c r="W55" s="4">
        <v>0</v>
      </c>
      <c r="X55" s="4">
        <v>300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1"/>
        <v>item_12014</v>
      </c>
      <c r="AL55" s="4">
        <v>3</v>
      </c>
      <c r="AM55" s="4" t="s">
        <v>332</v>
      </c>
      <c r="AN55" s="4" t="s">
        <v>333</v>
      </c>
      <c r="AO55" s="4">
        <v>0</v>
      </c>
    </row>
    <row r="56" spans="1:41" x14ac:dyDescent="0.3">
      <c r="A56" s="12" t="s">
        <v>234</v>
      </c>
      <c r="B56" s="10">
        <v>12015</v>
      </c>
      <c r="C56" s="9">
        <v>1</v>
      </c>
      <c r="D56" s="9">
        <v>1</v>
      </c>
      <c r="E56" s="15" t="s">
        <v>402</v>
      </c>
      <c r="F56" s="16">
        <v>0</v>
      </c>
      <c r="G56" s="4">
        <v>1</v>
      </c>
      <c r="H56" s="4">
        <v>0</v>
      </c>
      <c r="I56" s="4">
        <v>4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107</v>
      </c>
      <c r="W56" s="4">
        <v>0</v>
      </c>
      <c r="X56" s="4">
        <v>30</v>
      </c>
      <c r="Y56" s="4">
        <v>122</v>
      </c>
      <c r="Z56" s="4">
        <v>15</v>
      </c>
      <c r="AA56" s="4">
        <v>50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1"/>
        <v>item_12015</v>
      </c>
      <c r="AL56" s="4">
        <v>4</v>
      </c>
      <c r="AM56" s="4" t="s">
        <v>334</v>
      </c>
      <c r="AN56" s="4" t="s">
        <v>335</v>
      </c>
      <c r="AO56" s="4" t="s">
        <v>336</v>
      </c>
    </row>
    <row r="57" spans="1:41" x14ac:dyDescent="0.3">
      <c r="A57" s="12" t="s">
        <v>234</v>
      </c>
      <c r="B57" s="10">
        <v>12016</v>
      </c>
      <c r="C57" s="9">
        <v>1</v>
      </c>
      <c r="D57" s="9">
        <v>1</v>
      </c>
      <c r="AL57" s="4">
        <v>5</v>
      </c>
      <c r="AM57" s="4" t="s">
        <v>337</v>
      </c>
      <c r="AN57" s="4" t="s">
        <v>4</v>
      </c>
      <c r="AO57" s="4"/>
    </row>
    <row r="58" spans="1:41" x14ac:dyDescent="0.3">
      <c r="A58" s="12" t="s">
        <v>234</v>
      </c>
      <c r="B58" s="10">
        <v>12017</v>
      </c>
      <c r="C58" s="9">
        <v>1</v>
      </c>
      <c r="D58" s="9">
        <v>1</v>
      </c>
      <c r="AL58" s="4">
        <v>6</v>
      </c>
      <c r="AM58" s="4" t="s">
        <v>338</v>
      </c>
      <c r="AN58" s="4" t="s">
        <v>258</v>
      </c>
      <c r="AO58" s="4"/>
    </row>
    <row r="59" spans="1:41" x14ac:dyDescent="0.3">
      <c r="A59" s="12" t="s">
        <v>234</v>
      </c>
      <c r="B59" s="10">
        <v>12018</v>
      </c>
      <c r="C59" s="9">
        <v>1</v>
      </c>
      <c r="D59" s="9">
        <v>1</v>
      </c>
      <c r="AL59" s="4">
        <v>7</v>
      </c>
      <c r="AM59" s="4" t="s">
        <v>339</v>
      </c>
      <c r="AN59" s="4" t="s">
        <v>340</v>
      </c>
      <c r="AO59" s="4" t="s">
        <v>341</v>
      </c>
    </row>
    <row r="60" spans="1:41" x14ac:dyDescent="0.3">
      <c r="A60" s="12" t="s">
        <v>234</v>
      </c>
      <c r="B60" s="10">
        <v>12019</v>
      </c>
      <c r="C60" s="9">
        <v>1</v>
      </c>
      <c r="D60" s="9">
        <v>1</v>
      </c>
      <c r="AL60" s="4">
        <v>8</v>
      </c>
      <c r="AM60" s="4" t="s">
        <v>342</v>
      </c>
      <c r="AN60" s="4" t="s">
        <v>340</v>
      </c>
      <c r="AO60" s="4" t="s">
        <v>341</v>
      </c>
    </row>
    <row r="61" spans="1:41" x14ac:dyDescent="0.3">
      <c r="A61" s="12" t="s">
        <v>234</v>
      </c>
      <c r="B61" s="10">
        <v>12020</v>
      </c>
      <c r="C61" s="9">
        <v>1</v>
      </c>
      <c r="D61" s="9">
        <v>1</v>
      </c>
      <c r="AL61" s="4">
        <v>9</v>
      </c>
      <c r="AM61" s="4" t="s">
        <v>343</v>
      </c>
      <c r="AN61" s="4" t="s">
        <v>340</v>
      </c>
      <c r="AO61" s="4" t="s">
        <v>341</v>
      </c>
    </row>
    <row r="62" spans="1:41" x14ac:dyDescent="0.3">
      <c r="A62" s="12" t="s">
        <v>311</v>
      </c>
      <c r="B62" s="10">
        <v>20001</v>
      </c>
      <c r="C62" s="9">
        <v>1</v>
      </c>
      <c r="D62" s="9">
        <v>1</v>
      </c>
      <c r="E62" s="15" t="s">
        <v>313</v>
      </c>
      <c r="F62" s="16">
        <v>0</v>
      </c>
      <c r="G62" s="4">
        <v>2</v>
      </c>
      <c r="H62" s="4">
        <v>0</v>
      </c>
      <c r="I62" s="4">
        <v>1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100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">
        <v>315</v>
      </c>
      <c r="AL62" s="4">
        <v>10</v>
      </c>
      <c r="AM62" s="4" t="s">
        <v>344</v>
      </c>
      <c r="AN62" s="4" t="s">
        <v>345</v>
      </c>
      <c r="AO62" s="4" t="s">
        <v>346</v>
      </c>
    </row>
    <row r="63" spans="1:41" x14ac:dyDescent="0.3">
      <c r="A63" s="12" t="s">
        <v>312</v>
      </c>
      <c r="B63" s="10">
        <v>30001</v>
      </c>
      <c r="C63" s="9">
        <v>1</v>
      </c>
      <c r="D63" s="9">
        <v>1</v>
      </c>
      <c r="E63" s="15" t="s">
        <v>310</v>
      </c>
      <c r="F63" s="16">
        <v>0</v>
      </c>
      <c r="G63" s="4">
        <v>3</v>
      </c>
      <c r="H63" s="4">
        <v>0</v>
      </c>
      <c r="I63" s="4">
        <v>1</v>
      </c>
      <c r="J63" s="4">
        <v>1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">
        <v>316</v>
      </c>
      <c r="AL63" s="4">
        <v>11</v>
      </c>
      <c r="AM63" s="4" t="s">
        <v>347</v>
      </c>
      <c r="AN63" s="4" t="s">
        <v>345</v>
      </c>
      <c r="AO63" s="4" t="s">
        <v>348</v>
      </c>
    </row>
    <row r="64" spans="1:41" x14ac:dyDescent="0.3">
      <c r="A64" s="12" t="s">
        <v>321</v>
      </c>
      <c r="B64" s="10">
        <v>90001</v>
      </c>
      <c r="C64" s="9">
        <v>1</v>
      </c>
      <c r="D64" s="9">
        <v>1</v>
      </c>
      <c r="E64" s="15" t="s">
        <v>323</v>
      </c>
      <c r="F64" s="16">
        <v>0</v>
      </c>
      <c r="G64" s="4">
        <v>4</v>
      </c>
      <c r="H64" s="4">
        <v>0</v>
      </c>
      <c r="I64" s="4">
        <v>1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">
        <v>325</v>
      </c>
      <c r="AL64" s="4">
        <v>12</v>
      </c>
      <c r="AM64" s="4" t="s">
        <v>349</v>
      </c>
      <c r="AN64" s="4" t="s">
        <v>350</v>
      </c>
      <c r="AO64" s="4" t="s">
        <v>351</v>
      </c>
    </row>
    <row r="65" spans="38:41" x14ac:dyDescent="0.3">
      <c r="AL65" s="4">
        <v>99</v>
      </c>
      <c r="AM65" s="4" t="s">
        <v>352</v>
      </c>
      <c r="AN65" s="4" t="s">
        <v>353</v>
      </c>
      <c r="AO65" s="4"/>
    </row>
    <row r="66" spans="38:41" x14ac:dyDescent="0.3">
      <c r="AL66" s="4"/>
      <c r="AM66" s="4"/>
      <c r="AN66" s="4"/>
      <c r="AO66" s="4"/>
    </row>
    <row r="67" spans="38:41" x14ac:dyDescent="0.3">
      <c r="AL67" s="4">
        <v>101</v>
      </c>
      <c r="AM67" s="4" t="s">
        <v>354</v>
      </c>
      <c r="AN67" s="4" t="s">
        <v>355</v>
      </c>
      <c r="AO67" s="4" t="s">
        <v>356</v>
      </c>
    </row>
    <row r="68" spans="38:41" x14ac:dyDescent="0.3">
      <c r="AL68" s="4">
        <v>102</v>
      </c>
      <c r="AM68" s="4" t="s">
        <v>357</v>
      </c>
      <c r="AN68" s="4" t="s">
        <v>355</v>
      </c>
      <c r="AO68" s="4" t="s">
        <v>356</v>
      </c>
    </row>
    <row r="69" spans="38:41" x14ac:dyDescent="0.3">
      <c r="AL69" s="4">
        <v>103</v>
      </c>
      <c r="AM69" s="4" t="s">
        <v>358</v>
      </c>
      <c r="AN69" s="4" t="s">
        <v>355</v>
      </c>
      <c r="AO69" s="4" t="s">
        <v>356</v>
      </c>
    </row>
    <row r="70" spans="38:41" x14ac:dyDescent="0.3">
      <c r="AL70" s="4">
        <v>104</v>
      </c>
      <c r="AM70" s="4" t="s">
        <v>359</v>
      </c>
      <c r="AN70" s="4" t="s">
        <v>355</v>
      </c>
      <c r="AO70" s="4" t="s">
        <v>356</v>
      </c>
    </row>
    <row r="71" spans="38:41" x14ac:dyDescent="0.3">
      <c r="AL71" s="4">
        <v>105</v>
      </c>
      <c r="AM71" s="4" t="s">
        <v>360</v>
      </c>
      <c r="AN71" s="4" t="s">
        <v>355</v>
      </c>
      <c r="AO71" s="4" t="s">
        <v>356</v>
      </c>
    </row>
    <row r="72" spans="38:41" x14ac:dyDescent="0.3">
      <c r="AL72" s="4">
        <v>106</v>
      </c>
      <c r="AM72" s="4" t="s">
        <v>361</v>
      </c>
      <c r="AN72" s="4" t="s">
        <v>355</v>
      </c>
      <c r="AO72" s="4" t="s">
        <v>356</v>
      </c>
    </row>
    <row r="73" spans="38:41" x14ac:dyDescent="0.3">
      <c r="AL73" s="4">
        <v>107</v>
      </c>
      <c r="AM73" s="4" t="s">
        <v>362</v>
      </c>
      <c r="AN73" s="4" t="s">
        <v>355</v>
      </c>
      <c r="AO73" s="4" t="s">
        <v>356</v>
      </c>
    </row>
    <row r="74" spans="38:41" x14ac:dyDescent="0.3">
      <c r="AL74" s="4">
        <v>108</v>
      </c>
      <c r="AM74" s="4" t="s">
        <v>363</v>
      </c>
      <c r="AN74" s="4" t="s">
        <v>355</v>
      </c>
      <c r="AO74" s="4" t="s">
        <v>356</v>
      </c>
    </row>
    <row r="75" spans="38:41" x14ac:dyDescent="0.3">
      <c r="AL75" s="4">
        <v>109</v>
      </c>
      <c r="AM75" s="4" t="s">
        <v>364</v>
      </c>
      <c r="AN75" s="4" t="s">
        <v>355</v>
      </c>
      <c r="AO75" s="4" t="s">
        <v>356</v>
      </c>
    </row>
    <row r="76" spans="38:41" x14ac:dyDescent="0.3">
      <c r="AL76" s="4">
        <v>110</v>
      </c>
      <c r="AM76" s="4" t="s">
        <v>365</v>
      </c>
      <c r="AN76" s="4" t="s">
        <v>355</v>
      </c>
      <c r="AO76" s="4" t="s">
        <v>356</v>
      </c>
    </row>
    <row r="77" spans="38:41" x14ac:dyDescent="0.3">
      <c r="AL77" s="4">
        <v>111</v>
      </c>
      <c r="AM77" s="4" t="s">
        <v>292</v>
      </c>
      <c r="AN77" s="4" t="s">
        <v>355</v>
      </c>
      <c r="AO77" s="4" t="s">
        <v>356</v>
      </c>
    </row>
    <row r="78" spans="38:41" x14ac:dyDescent="0.3">
      <c r="AL78" s="4">
        <v>112</v>
      </c>
      <c r="AM78" s="4" t="s">
        <v>366</v>
      </c>
      <c r="AN78" s="4" t="s">
        <v>355</v>
      </c>
      <c r="AO78" s="4" t="s">
        <v>356</v>
      </c>
    </row>
    <row r="79" spans="38:41" x14ac:dyDescent="0.3">
      <c r="AL79" s="4">
        <v>113</v>
      </c>
      <c r="AM79" s="4" t="s">
        <v>367</v>
      </c>
      <c r="AN79" s="4" t="s">
        <v>355</v>
      </c>
      <c r="AO79" s="4" t="s">
        <v>356</v>
      </c>
    </row>
    <row r="80" spans="38:41" x14ac:dyDescent="0.3">
      <c r="AL80" s="4">
        <v>114</v>
      </c>
      <c r="AM80" s="4" t="s">
        <v>368</v>
      </c>
      <c r="AN80" s="4" t="s">
        <v>355</v>
      </c>
      <c r="AO80" s="4" t="s">
        <v>356</v>
      </c>
    </row>
    <row r="81" spans="38:41" x14ac:dyDescent="0.3">
      <c r="AL81" s="4">
        <v>115</v>
      </c>
      <c r="AM81" s="4" t="s">
        <v>369</v>
      </c>
      <c r="AN81" s="4" t="s">
        <v>355</v>
      </c>
      <c r="AO81" s="4" t="s">
        <v>356</v>
      </c>
    </row>
    <row r="82" spans="38:41" x14ac:dyDescent="0.3">
      <c r="AL82" s="4">
        <v>116</v>
      </c>
      <c r="AM82" s="4" t="s">
        <v>370</v>
      </c>
      <c r="AN82" s="4" t="s">
        <v>355</v>
      </c>
      <c r="AO82" s="4" t="s">
        <v>356</v>
      </c>
    </row>
    <row r="83" spans="38:41" x14ac:dyDescent="0.3">
      <c r="AL83" s="4">
        <v>117</v>
      </c>
      <c r="AM83" s="4" t="s">
        <v>371</v>
      </c>
      <c r="AN83" s="4" t="s">
        <v>355</v>
      </c>
      <c r="AO83" s="4" t="s">
        <v>356</v>
      </c>
    </row>
    <row r="84" spans="38:41" x14ac:dyDescent="0.3">
      <c r="AL84" s="4">
        <v>118</v>
      </c>
      <c r="AM84" s="4" t="s">
        <v>372</v>
      </c>
      <c r="AN84" s="4" t="s">
        <v>355</v>
      </c>
      <c r="AO84" s="4" t="s">
        <v>356</v>
      </c>
    </row>
    <row r="85" spans="38:41" x14ac:dyDescent="0.3">
      <c r="AL85" s="4">
        <v>119</v>
      </c>
      <c r="AM85" s="4" t="s">
        <v>373</v>
      </c>
      <c r="AN85" s="4" t="s">
        <v>355</v>
      </c>
      <c r="AO85" s="4" t="s">
        <v>356</v>
      </c>
    </row>
    <row r="86" spans="38:41" x14ac:dyDescent="0.3">
      <c r="AL86" s="4">
        <v>120</v>
      </c>
      <c r="AM86" s="4" t="s">
        <v>374</v>
      </c>
      <c r="AN86" s="4" t="s">
        <v>355</v>
      </c>
      <c r="AO86" s="4" t="s">
        <v>356</v>
      </c>
    </row>
    <row r="87" spans="38:41" x14ac:dyDescent="0.3">
      <c r="AL87" s="4">
        <v>121</v>
      </c>
      <c r="AM87" s="4" t="s">
        <v>375</v>
      </c>
      <c r="AN87" s="4" t="s">
        <v>376</v>
      </c>
      <c r="AO87" s="4" t="s">
        <v>377</v>
      </c>
    </row>
    <row r="88" spans="38:41" x14ac:dyDescent="0.3">
      <c r="AL88" s="4">
        <v>122</v>
      </c>
      <c r="AM88" s="4" t="s">
        <v>378</v>
      </c>
      <c r="AN88" s="4" t="s">
        <v>379</v>
      </c>
      <c r="AO88" s="4" t="s">
        <v>378</v>
      </c>
    </row>
    <row r="89" spans="38:41" x14ac:dyDescent="0.3">
      <c r="AL89" s="4">
        <v>123</v>
      </c>
      <c r="AM89" s="4" t="s">
        <v>380</v>
      </c>
      <c r="AN89" s="4" t="s">
        <v>379</v>
      </c>
      <c r="AO89" s="4" t="s">
        <v>381</v>
      </c>
    </row>
    <row r="90" spans="38:41" x14ac:dyDescent="0.3">
      <c r="AL90" s="4">
        <v>124</v>
      </c>
      <c r="AM90" s="4" t="s">
        <v>382</v>
      </c>
      <c r="AN90" s="4" t="s">
        <v>355</v>
      </c>
      <c r="AO90" s="4" t="s">
        <v>356</v>
      </c>
    </row>
    <row r="91" spans="38:41" x14ac:dyDescent="0.3">
      <c r="AL91" s="4">
        <v>125</v>
      </c>
      <c r="AM91" s="4" t="s">
        <v>383</v>
      </c>
      <c r="AN91" s="4" t="s">
        <v>384</v>
      </c>
      <c r="AO91" s="4" t="s">
        <v>385</v>
      </c>
    </row>
    <row r="92" spans="38:41" x14ac:dyDescent="0.3">
      <c r="AL92" s="4">
        <v>126</v>
      </c>
      <c r="AM92" s="4" t="s">
        <v>386</v>
      </c>
      <c r="AN92" s="4" t="s">
        <v>387</v>
      </c>
      <c r="AO92" s="4" t="s">
        <v>388</v>
      </c>
    </row>
    <row r="93" spans="38:41" x14ac:dyDescent="0.3">
      <c r="AL93" s="4">
        <v>127</v>
      </c>
      <c r="AM93" s="4" t="s">
        <v>389</v>
      </c>
      <c r="AN93" s="4" t="s">
        <v>390</v>
      </c>
      <c r="AO93" s="4" t="s">
        <v>391</v>
      </c>
    </row>
    <row r="94" spans="38:41" x14ac:dyDescent="0.3">
      <c r="AL94" s="4">
        <v>128</v>
      </c>
      <c r="AM94" s="4" t="s">
        <v>392</v>
      </c>
      <c r="AN94" s="4" t="s">
        <v>390</v>
      </c>
      <c r="AO94" s="4" t="s">
        <v>391</v>
      </c>
    </row>
    <row r="95" spans="38:41" x14ac:dyDescent="0.3">
      <c r="AL95" s="4">
        <v>129</v>
      </c>
      <c r="AM95" s="4" t="s">
        <v>393</v>
      </c>
      <c r="AN95" s="4" t="s">
        <v>379</v>
      </c>
      <c r="AO95" s="4" t="s">
        <v>388</v>
      </c>
    </row>
    <row r="96" spans="38:41" x14ac:dyDescent="0.3">
      <c r="AL96" s="4">
        <v>130</v>
      </c>
      <c r="AM96" s="4" t="s">
        <v>394</v>
      </c>
      <c r="AN96" s="4" t="s">
        <v>379</v>
      </c>
      <c r="AO96" s="4" t="s">
        <v>388</v>
      </c>
    </row>
    <row r="97" spans="38:41" x14ac:dyDescent="0.3">
      <c r="AL97" s="4">
        <v>131</v>
      </c>
      <c r="AM97" s="4" t="s">
        <v>395</v>
      </c>
      <c r="AN97" s="4" t="s">
        <v>396</v>
      </c>
      <c r="AO97" s="4" t="s">
        <v>397</v>
      </c>
    </row>
    <row r="98" spans="38:41" x14ac:dyDescent="0.3">
      <c r="AL98" s="4">
        <v>132</v>
      </c>
      <c r="AM98" s="4" t="s">
        <v>398</v>
      </c>
      <c r="AN98" s="4">
        <v>0</v>
      </c>
      <c r="AO98" s="4" t="s">
        <v>397</v>
      </c>
    </row>
  </sheetData>
  <mergeCells count="6">
    <mergeCell ref="AL52:AM52"/>
    <mergeCell ref="AL2:AN2"/>
    <mergeCell ref="AP2:AQ2"/>
    <mergeCell ref="AS2:AT2"/>
    <mergeCell ref="AS19:AT19"/>
    <mergeCell ref="AL51:AO5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Q35"/>
  <sheetViews>
    <sheetView workbookViewId="0">
      <selection activeCell="L56" sqref="L56"/>
    </sheetView>
  </sheetViews>
  <sheetFormatPr defaultRowHeight="12" x14ac:dyDescent="0.3"/>
  <cols>
    <col min="1" max="1" width="3.2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3.125" style="5" bestFit="1" customWidth="1"/>
    <col min="6" max="6" width="12.375" style="5" bestFit="1" customWidth="1"/>
    <col min="7" max="7" width="12.875" style="5" bestFit="1" customWidth="1"/>
    <col min="8" max="8" width="13.125" style="5" bestFit="1" customWidth="1"/>
    <col min="9" max="9" width="12.375" style="5" bestFit="1" customWidth="1"/>
    <col min="10" max="10" width="12.875" style="5" bestFit="1" customWidth="1"/>
    <col min="11" max="11" width="13.125" style="5" bestFit="1" customWidth="1"/>
    <col min="12" max="12" width="12.375" style="5" bestFit="1" customWidth="1"/>
    <col min="13" max="13" width="12.875" style="5" bestFit="1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3.125" style="5" bestFit="1" customWidth="1"/>
    <col min="18" max="18" width="12.375" style="5" bestFit="1" customWidth="1"/>
    <col min="19" max="19" width="12.875" style="5" bestFit="1" customWidth="1"/>
    <col min="20" max="20" width="13.125" style="5" bestFit="1" customWidth="1"/>
    <col min="21" max="21" width="12.375" style="5" bestFit="1" customWidth="1"/>
    <col min="22" max="22" width="12.875" style="5" bestFit="1" customWidth="1"/>
    <col min="23" max="23" width="13.125" style="5" bestFit="1" customWidth="1"/>
    <col min="24" max="24" width="12.375" style="5" bestFit="1" customWidth="1"/>
    <col min="25" max="25" width="12.875" style="5" bestFit="1" customWidth="1"/>
    <col min="26" max="26" width="13.125" style="5" bestFit="1" customWidth="1"/>
    <col min="27" max="27" width="12.375" style="5" bestFit="1" customWidth="1"/>
    <col min="28" max="28" width="12.875" style="5" bestFit="1" customWidth="1"/>
    <col min="29" max="29" width="13.125" style="5" bestFit="1" customWidth="1"/>
    <col min="30" max="30" width="13.375" style="5" bestFit="1" customWidth="1"/>
    <col min="31" max="31" width="13.875" style="5" bestFit="1" customWidth="1"/>
    <col min="32" max="32" width="14.125" style="5" bestFit="1" customWidth="1"/>
    <col min="33" max="33" width="2.625" style="6" customWidth="1"/>
    <col min="34" max="34" width="9" style="7"/>
    <col min="35" max="36" width="24.5" style="7" customWidth="1"/>
    <col min="37" max="38" width="9" style="7"/>
    <col min="39" max="39" width="5.125" style="7" bestFit="1" customWidth="1"/>
    <col min="40" max="40" width="11.625" style="7" bestFit="1" customWidth="1"/>
    <col min="41" max="41" width="35" style="7" bestFit="1" customWidth="1"/>
    <col min="42" max="42" width="10.5" style="7" bestFit="1" customWidth="1"/>
    <col min="43" max="43" width="14.25" style="7" bestFit="1" customWidth="1"/>
    <col min="44" max="16384" width="9" style="7"/>
  </cols>
  <sheetData>
    <row r="1" spans="1:43" x14ac:dyDescent="0.3">
      <c r="A1" s="1" t="s">
        <v>0</v>
      </c>
      <c r="B1" s="1" t="s">
        <v>89</v>
      </c>
      <c r="C1" s="1" t="s">
        <v>91</v>
      </c>
      <c r="D1" s="1" t="s">
        <v>93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99</v>
      </c>
      <c r="J1" s="1" t="s">
        <v>100</v>
      </c>
      <c r="K1" s="1" t="s">
        <v>101</v>
      </c>
      <c r="L1" s="1" t="s">
        <v>102</v>
      </c>
      <c r="M1" s="1" t="s">
        <v>103</v>
      </c>
      <c r="N1" s="1" t="s">
        <v>104</v>
      </c>
      <c r="O1" s="1" t="s">
        <v>105</v>
      </c>
      <c r="P1" s="1" t="s">
        <v>106</v>
      </c>
      <c r="Q1" s="1" t="s">
        <v>107</v>
      </c>
      <c r="R1" s="1" t="s">
        <v>108</v>
      </c>
      <c r="S1" s="1" t="s">
        <v>109</v>
      </c>
      <c r="T1" s="1" t="s">
        <v>110</v>
      </c>
      <c r="U1" s="1" t="s">
        <v>111</v>
      </c>
      <c r="V1" s="1" t="s">
        <v>112</v>
      </c>
      <c r="W1" s="1" t="s">
        <v>113</v>
      </c>
      <c r="X1" s="1" t="s">
        <v>114</v>
      </c>
      <c r="Y1" s="1" t="s">
        <v>115</v>
      </c>
      <c r="Z1" s="1" t="s">
        <v>116</v>
      </c>
      <c r="AA1" s="1" t="s">
        <v>117</v>
      </c>
      <c r="AB1" s="1" t="s">
        <v>118</v>
      </c>
      <c r="AC1" s="1" t="s">
        <v>119</v>
      </c>
      <c r="AD1" s="1" t="s">
        <v>120</v>
      </c>
      <c r="AE1" s="1" t="s">
        <v>121</v>
      </c>
      <c r="AF1" s="1" t="s">
        <v>122</v>
      </c>
    </row>
    <row r="2" spans="1:43" x14ac:dyDescent="0.3">
      <c r="A2" s="5">
        <v>1</v>
      </c>
      <c r="B2" s="5">
        <v>1</v>
      </c>
      <c r="C2" s="5">
        <v>2</v>
      </c>
      <c r="D2" s="10">
        <v>11001</v>
      </c>
      <c r="E2" s="5">
        <v>1</v>
      </c>
      <c r="F2" s="5">
        <v>2</v>
      </c>
      <c r="G2" s="10">
        <v>11002</v>
      </c>
      <c r="H2" s="5">
        <v>1</v>
      </c>
      <c r="I2" s="5">
        <v>2</v>
      </c>
      <c r="J2" s="10">
        <v>11003</v>
      </c>
      <c r="K2" s="5">
        <v>1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I2" s="26" t="s">
        <v>158</v>
      </c>
      <c r="AJ2" s="26"/>
      <c r="AK2" s="26"/>
      <c r="AM2" s="27" t="s">
        <v>163</v>
      </c>
      <c r="AN2" s="27"/>
      <c r="AO2" s="27"/>
    </row>
    <row r="3" spans="1:43" x14ac:dyDescent="0.3">
      <c r="D3" s="10"/>
      <c r="AI3" s="10" t="s">
        <v>1</v>
      </c>
      <c r="AJ3" s="10" t="s">
        <v>3</v>
      </c>
      <c r="AK3" s="10" t="s">
        <v>31</v>
      </c>
      <c r="AM3" s="5" t="s">
        <v>159</v>
      </c>
      <c r="AN3" s="5" t="s">
        <v>3</v>
      </c>
      <c r="AO3" s="5" t="s">
        <v>160</v>
      </c>
    </row>
    <row r="4" spans="1:43" x14ac:dyDescent="0.3">
      <c r="D4" s="10"/>
      <c r="AI4" s="10" t="s">
        <v>87</v>
      </c>
      <c r="AJ4" s="10" t="s">
        <v>123</v>
      </c>
      <c r="AK4" s="10" t="s">
        <v>33</v>
      </c>
      <c r="AM4" s="5">
        <v>1</v>
      </c>
      <c r="AN4" s="5" t="s">
        <v>161</v>
      </c>
      <c r="AO4" s="5" t="s">
        <v>162</v>
      </c>
    </row>
    <row r="5" spans="1:43" x14ac:dyDescent="0.3">
      <c r="AI5" s="10" t="s">
        <v>88</v>
      </c>
      <c r="AJ5" s="10" t="s">
        <v>124</v>
      </c>
      <c r="AK5" s="10" t="s">
        <v>32</v>
      </c>
      <c r="AM5" s="5">
        <v>2</v>
      </c>
      <c r="AN5" s="5" t="s">
        <v>164</v>
      </c>
      <c r="AO5" s="5" t="s">
        <v>165</v>
      </c>
    </row>
    <row r="6" spans="1:43" x14ac:dyDescent="0.3">
      <c r="AI6" s="10" t="s">
        <v>90</v>
      </c>
      <c r="AJ6" s="10" t="s">
        <v>126</v>
      </c>
      <c r="AK6" s="10" t="s">
        <v>32</v>
      </c>
      <c r="AM6" s="5">
        <v>3</v>
      </c>
      <c r="AN6" s="5" t="s">
        <v>166</v>
      </c>
      <c r="AO6" s="5" t="s">
        <v>167</v>
      </c>
    </row>
    <row r="7" spans="1:43" x14ac:dyDescent="0.3">
      <c r="AI7" s="10" t="s">
        <v>92</v>
      </c>
      <c r="AJ7" s="10" t="s">
        <v>131</v>
      </c>
      <c r="AK7" s="10" t="s">
        <v>2</v>
      </c>
    </row>
    <row r="8" spans="1:43" x14ac:dyDescent="0.3">
      <c r="AI8" s="10" t="s">
        <v>94</v>
      </c>
      <c r="AJ8" s="10" t="s">
        <v>134</v>
      </c>
      <c r="AK8" s="10" t="s">
        <v>2</v>
      </c>
    </row>
    <row r="9" spans="1:43" x14ac:dyDescent="0.3">
      <c r="AI9" s="10" t="s">
        <v>96</v>
      </c>
      <c r="AJ9" s="10" t="s">
        <v>135</v>
      </c>
      <c r="AK9" s="10" t="s">
        <v>32</v>
      </c>
    </row>
    <row r="10" spans="1:43" x14ac:dyDescent="0.3">
      <c r="AI10" s="10" t="s">
        <v>97</v>
      </c>
      <c r="AJ10" s="10" t="s">
        <v>136</v>
      </c>
      <c r="AK10" s="10" t="s">
        <v>2</v>
      </c>
      <c r="AM10" s="26" t="s">
        <v>185</v>
      </c>
      <c r="AN10" s="26"/>
      <c r="AO10" s="26"/>
      <c r="AP10" s="26"/>
      <c r="AQ10" s="26"/>
    </row>
    <row r="11" spans="1:43" x14ac:dyDescent="0.3">
      <c r="AI11" s="10" t="s">
        <v>98</v>
      </c>
      <c r="AJ11" s="10" t="s">
        <v>137</v>
      </c>
      <c r="AK11" s="10" t="s">
        <v>2</v>
      </c>
      <c r="AM11" s="18" t="s">
        <v>317</v>
      </c>
      <c r="AN11" s="18" t="s">
        <v>3</v>
      </c>
      <c r="AO11" s="18" t="s">
        <v>169</v>
      </c>
      <c r="AP11" s="18" t="s">
        <v>170</v>
      </c>
      <c r="AQ11" s="18" t="s">
        <v>195</v>
      </c>
    </row>
    <row r="12" spans="1:43" x14ac:dyDescent="0.3">
      <c r="AI12" s="10" t="s">
        <v>99</v>
      </c>
      <c r="AJ12" s="10" t="s">
        <v>138</v>
      </c>
      <c r="AK12" s="10" t="s">
        <v>32</v>
      </c>
      <c r="AM12" s="18">
        <v>1</v>
      </c>
      <c r="AN12" s="18" t="s">
        <v>171</v>
      </c>
      <c r="AO12" s="18" t="s">
        <v>172</v>
      </c>
      <c r="AP12" s="18"/>
      <c r="AQ12" s="18"/>
    </row>
    <row r="13" spans="1:43" x14ac:dyDescent="0.3">
      <c r="AI13" s="10" t="s">
        <v>100</v>
      </c>
      <c r="AJ13" s="10" t="s">
        <v>139</v>
      </c>
      <c r="AK13" s="10" t="s">
        <v>2</v>
      </c>
      <c r="AM13" s="18">
        <v>2</v>
      </c>
      <c r="AN13" s="18" t="s">
        <v>173</v>
      </c>
      <c r="AO13" s="18" t="s">
        <v>5</v>
      </c>
      <c r="AP13" s="18" t="s">
        <v>176</v>
      </c>
      <c r="AQ13" s="18" t="s">
        <v>196</v>
      </c>
    </row>
    <row r="14" spans="1:43" x14ac:dyDescent="0.3">
      <c r="AI14" s="10" t="s">
        <v>101</v>
      </c>
      <c r="AJ14" s="10" t="s">
        <v>140</v>
      </c>
      <c r="AK14" s="10" t="s">
        <v>2</v>
      </c>
      <c r="AM14" s="18">
        <v>3</v>
      </c>
      <c r="AN14" s="18" t="s">
        <v>174</v>
      </c>
      <c r="AO14" s="18" t="s">
        <v>172</v>
      </c>
      <c r="AP14" s="18"/>
      <c r="AQ14" s="18"/>
    </row>
    <row r="15" spans="1:43" x14ac:dyDescent="0.3">
      <c r="AI15" s="10" t="s">
        <v>102</v>
      </c>
      <c r="AJ15" s="10" t="s">
        <v>141</v>
      </c>
      <c r="AK15" s="10" t="s">
        <v>32</v>
      </c>
      <c r="AM15" s="18">
        <v>4</v>
      </c>
      <c r="AN15" s="18" t="s">
        <v>175</v>
      </c>
      <c r="AO15" s="18" t="s">
        <v>177</v>
      </c>
      <c r="AP15" s="18"/>
      <c r="AQ15" s="18" t="s">
        <v>197</v>
      </c>
    </row>
    <row r="16" spans="1:43" x14ac:dyDescent="0.3">
      <c r="AI16" s="10" t="s">
        <v>103</v>
      </c>
      <c r="AJ16" s="10" t="s">
        <v>142</v>
      </c>
      <c r="AK16" s="10" t="s">
        <v>2</v>
      </c>
      <c r="AM16" s="18">
        <v>5</v>
      </c>
      <c r="AN16" s="18" t="s">
        <v>193</v>
      </c>
      <c r="AO16" s="18" t="s">
        <v>194</v>
      </c>
      <c r="AP16" s="18"/>
      <c r="AQ16" s="18" t="s">
        <v>198</v>
      </c>
    </row>
    <row r="17" spans="35:37" x14ac:dyDescent="0.3">
      <c r="AI17" s="10" t="s">
        <v>104</v>
      </c>
      <c r="AJ17" s="10" t="s">
        <v>143</v>
      </c>
      <c r="AK17" s="10" t="s">
        <v>2</v>
      </c>
    </row>
    <row r="18" spans="35:37" x14ac:dyDescent="0.3">
      <c r="AI18" s="10" t="s">
        <v>105</v>
      </c>
      <c r="AJ18" s="10" t="s">
        <v>144</v>
      </c>
      <c r="AK18" s="10" t="s">
        <v>32</v>
      </c>
    </row>
    <row r="19" spans="35:37" x14ac:dyDescent="0.3">
      <c r="AI19" s="10" t="s">
        <v>106</v>
      </c>
      <c r="AJ19" s="10" t="s">
        <v>145</v>
      </c>
      <c r="AK19" s="10" t="s">
        <v>2</v>
      </c>
    </row>
    <row r="20" spans="35:37" x14ac:dyDescent="0.3">
      <c r="AI20" s="10" t="s">
        <v>107</v>
      </c>
      <c r="AJ20" s="10" t="s">
        <v>146</v>
      </c>
      <c r="AK20" s="10" t="s">
        <v>2</v>
      </c>
    </row>
    <row r="21" spans="35:37" x14ac:dyDescent="0.3">
      <c r="AI21" s="10" t="s">
        <v>108</v>
      </c>
      <c r="AJ21" s="10" t="s">
        <v>147</v>
      </c>
      <c r="AK21" s="10" t="s">
        <v>32</v>
      </c>
    </row>
    <row r="22" spans="35:37" x14ac:dyDescent="0.3">
      <c r="AI22" s="10" t="s">
        <v>109</v>
      </c>
      <c r="AJ22" s="10" t="s">
        <v>148</v>
      </c>
      <c r="AK22" s="10" t="s">
        <v>2</v>
      </c>
    </row>
    <row r="23" spans="35:37" x14ac:dyDescent="0.3">
      <c r="AI23" s="10" t="s">
        <v>110</v>
      </c>
      <c r="AJ23" s="10" t="s">
        <v>149</v>
      </c>
      <c r="AK23" s="10" t="s">
        <v>2</v>
      </c>
    </row>
    <row r="24" spans="35:37" x14ac:dyDescent="0.3">
      <c r="AI24" s="10" t="s">
        <v>111</v>
      </c>
      <c r="AJ24" s="10" t="s">
        <v>150</v>
      </c>
      <c r="AK24" s="10" t="s">
        <v>32</v>
      </c>
    </row>
    <row r="25" spans="35:37" x14ac:dyDescent="0.3">
      <c r="AI25" s="10" t="s">
        <v>112</v>
      </c>
      <c r="AJ25" s="10" t="s">
        <v>151</v>
      </c>
      <c r="AK25" s="10" t="s">
        <v>2</v>
      </c>
    </row>
    <row r="26" spans="35:37" x14ac:dyDescent="0.3">
      <c r="AI26" s="10" t="s">
        <v>113</v>
      </c>
      <c r="AJ26" s="10" t="s">
        <v>152</v>
      </c>
      <c r="AK26" s="10" t="s">
        <v>2</v>
      </c>
    </row>
    <row r="27" spans="35:37" x14ac:dyDescent="0.3">
      <c r="AI27" s="10" t="s">
        <v>114</v>
      </c>
      <c r="AJ27" s="10" t="s">
        <v>153</v>
      </c>
      <c r="AK27" s="10" t="s">
        <v>32</v>
      </c>
    </row>
    <row r="28" spans="35:37" x14ac:dyDescent="0.3">
      <c r="AI28" s="10" t="s">
        <v>115</v>
      </c>
      <c r="AJ28" s="10" t="s">
        <v>154</v>
      </c>
      <c r="AK28" s="10" t="s">
        <v>2</v>
      </c>
    </row>
    <row r="29" spans="35:37" x14ac:dyDescent="0.3">
      <c r="AI29" s="10" t="s">
        <v>116</v>
      </c>
      <c r="AJ29" s="10" t="s">
        <v>155</v>
      </c>
      <c r="AK29" s="10" t="s">
        <v>2</v>
      </c>
    </row>
    <row r="30" spans="35:37" x14ac:dyDescent="0.3">
      <c r="AI30" s="10" t="s">
        <v>117</v>
      </c>
      <c r="AJ30" s="10" t="s">
        <v>127</v>
      </c>
      <c r="AK30" s="10" t="s">
        <v>32</v>
      </c>
    </row>
    <row r="31" spans="35:37" x14ac:dyDescent="0.3">
      <c r="AI31" s="10" t="s">
        <v>118</v>
      </c>
      <c r="AJ31" s="10" t="s">
        <v>132</v>
      </c>
      <c r="AK31" s="10" t="s">
        <v>2</v>
      </c>
    </row>
    <row r="32" spans="35:37" x14ac:dyDescent="0.3">
      <c r="AI32" s="10" t="s">
        <v>119</v>
      </c>
      <c r="AJ32" s="10" t="s">
        <v>156</v>
      </c>
      <c r="AK32" s="10" t="s">
        <v>2</v>
      </c>
    </row>
    <row r="33" spans="35:37" x14ac:dyDescent="0.3">
      <c r="AI33" s="10" t="s">
        <v>120</v>
      </c>
      <c r="AJ33" s="10" t="s">
        <v>128</v>
      </c>
      <c r="AK33" s="10" t="s">
        <v>32</v>
      </c>
    </row>
    <row r="34" spans="35:37" x14ac:dyDescent="0.3">
      <c r="AI34" s="10" t="s">
        <v>121</v>
      </c>
      <c r="AJ34" s="10" t="s">
        <v>133</v>
      </c>
      <c r="AK34" s="10" t="s">
        <v>2</v>
      </c>
    </row>
    <row r="35" spans="35:37" x14ac:dyDescent="0.3">
      <c r="AI35" s="10" t="s">
        <v>122</v>
      </c>
      <c r="AJ35" s="10" t="s">
        <v>157</v>
      </c>
      <c r="AK35" s="10" t="s">
        <v>2</v>
      </c>
    </row>
  </sheetData>
  <mergeCells count="3">
    <mergeCell ref="AI2:AK2"/>
    <mergeCell ref="AM2:AO2"/>
    <mergeCell ref="AM10:AQ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54"/>
  <sheetViews>
    <sheetView workbookViewId="0">
      <selection activeCell="M44" sqref="M44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180</v>
      </c>
      <c r="C1" s="1" t="s">
        <v>182</v>
      </c>
      <c r="D1" s="1" t="s">
        <v>184</v>
      </c>
      <c r="E1" s="1" t="s">
        <v>168</v>
      </c>
      <c r="F1" s="22" t="s">
        <v>299</v>
      </c>
      <c r="G1" s="1" t="s">
        <v>169</v>
      </c>
      <c r="H1" s="1" t="s">
        <v>170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IF(E2=2,INDEX('11.Item_Table'!E:E,MATCH(G2,'11.Item_Table'!B:B,0)),"아이템 아님")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26" t="s">
        <v>158</v>
      </c>
      <c r="M2" s="26"/>
      <c r="N2" s="26"/>
      <c r="P2" s="27" t="s">
        <v>199</v>
      </c>
      <c r="Q2" s="27"/>
      <c r="R2" s="27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IF(E3=2,INDEX('11.Item_Table'!E:E,MATCH(G3,'11.Item_Table'!B:B,0)),"아이템 아님")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159</v>
      </c>
      <c r="Q3" s="5" t="s">
        <v>3</v>
      </c>
      <c r="R3" s="5" t="s">
        <v>186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IF(E4=2,INDEX('11.Item_Table'!E:E,MATCH(G4,'11.Item_Table'!B:B,0)),"아이템 아님")</f>
        <v>철제 검</v>
      </c>
      <c r="G4" s="10">
        <v>11003</v>
      </c>
      <c r="H4" s="5">
        <v>1</v>
      </c>
      <c r="L4" s="10" t="s">
        <v>87</v>
      </c>
      <c r="M4" s="10" t="s">
        <v>123</v>
      </c>
      <c r="N4" s="10" t="s">
        <v>33</v>
      </c>
      <c r="P4" s="5">
        <v>1</v>
      </c>
      <c r="Q4" s="5" t="s">
        <v>189</v>
      </c>
      <c r="R4" s="5" t="s">
        <v>190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IF(E5=2,INDEX('11.Item_Table'!E:E,MATCH(G5,'11.Item_Table'!B:B,0)),"아이템 아님")</f>
        <v>목궁</v>
      </c>
      <c r="G5" s="10">
        <v>11004</v>
      </c>
      <c r="H5" s="5">
        <v>1</v>
      </c>
      <c r="J5" s="7" t="s">
        <v>300</v>
      </c>
      <c r="K5" s="7">
        <v>5000</v>
      </c>
      <c r="L5" s="10" t="s">
        <v>179</v>
      </c>
      <c r="M5" s="10" t="s">
        <v>200</v>
      </c>
      <c r="N5" s="10" t="s">
        <v>32</v>
      </c>
      <c r="P5" s="5">
        <v>2</v>
      </c>
      <c r="Q5" s="5" t="s">
        <v>187</v>
      </c>
      <c r="R5" s="5" t="s">
        <v>188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IF(E6=2,INDEX('11.Item_Table'!E:E,MATCH(G6,'11.Item_Table'!B:B,0)),"아이템 아님")</f>
        <v>조잡한 활</v>
      </c>
      <c r="G6" s="10">
        <v>11005</v>
      </c>
      <c r="H6" s="5">
        <v>1</v>
      </c>
      <c r="J6" s="7" t="s">
        <v>301</v>
      </c>
      <c r="K6" s="7">
        <v>3000</v>
      </c>
      <c r="L6" s="10" t="s">
        <v>181</v>
      </c>
      <c r="M6" s="10" t="s">
        <v>201</v>
      </c>
      <c r="N6" s="10" t="s">
        <v>32</v>
      </c>
      <c r="P6" s="5">
        <v>3</v>
      </c>
      <c r="Q6" s="5" t="s">
        <v>191</v>
      </c>
      <c r="R6" s="5" t="s">
        <v>192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IF(E7=2,INDEX('11.Item_Table'!E:E,MATCH(G7,'11.Item_Table'!B:B,0)),"아이템 아님")</f>
        <v>각궁</v>
      </c>
      <c r="G7" s="10">
        <v>11006</v>
      </c>
      <c r="H7" s="5">
        <v>1</v>
      </c>
      <c r="J7" s="7" t="s">
        <v>302</v>
      </c>
      <c r="K7" s="7">
        <v>500</v>
      </c>
      <c r="L7" s="10" t="s">
        <v>183</v>
      </c>
      <c r="M7" s="10" t="s">
        <v>202</v>
      </c>
      <c r="N7" s="10" t="s">
        <v>2</v>
      </c>
      <c r="P7" s="7">
        <v>4</v>
      </c>
      <c r="Q7" s="7" t="s">
        <v>298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IF(E8=2,INDEX('11.Item_Table'!E:E,MATCH(G8,'11.Item_Table'!B:B,0)),"아이템 아님")</f>
        <v>나무 단검</v>
      </c>
      <c r="G8" s="10">
        <v>11007</v>
      </c>
      <c r="H8" s="5">
        <v>1</v>
      </c>
      <c r="J8" s="7" t="s">
        <v>303</v>
      </c>
      <c r="K8" s="7">
        <v>250</v>
      </c>
      <c r="L8" s="10" t="s">
        <v>168</v>
      </c>
      <c r="M8" s="10" t="s">
        <v>125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IF(E9=2,INDEX('11.Item_Table'!E:E,MATCH(G9,'11.Item_Table'!B:B,0)),"아이템 아님")</f>
        <v>조잡한 단검</v>
      </c>
      <c r="G9" s="10">
        <v>11008</v>
      </c>
      <c r="H9" s="5">
        <v>1</v>
      </c>
      <c r="J9" s="7" t="s">
        <v>304</v>
      </c>
      <c r="K9" s="7">
        <v>50</v>
      </c>
      <c r="L9" s="10" t="s">
        <v>169</v>
      </c>
      <c r="M9" s="10" t="s">
        <v>129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IF(E10=2,INDEX('11.Item_Table'!E:E,MATCH(G10,'11.Item_Table'!B:B,0)),"아이템 아님")</f>
        <v>철제 단검</v>
      </c>
      <c r="G10" s="10">
        <v>11009</v>
      </c>
      <c r="H10" s="5">
        <v>1</v>
      </c>
      <c r="J10" s="7" t="s">
        <v>318</v>
      </c>
      <c r="K10" s="7">
        <v>1000</v>
      </c>
      <c r="L10" s="10" t="s">
        <v>170</v>
      </c>
      <c r="M10" s="10" t="s">
        <v>130</v>
      </c>
      <c r="N10" s="10" t="s">
        <v>2</v>
      </c>
      <c r="P10" s="26" t="s">
        <v>178</v>
      </c>
      <c r="Q10" s="26"/>
      <c r="R10" s="26"/>
      <c r="S10" s="26"/>
      <c r="T10" s="26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IF(E11=2,INDEX('11.Item_Table'!E:E,MATCH(G11,'11.Item_Table'!B:B,0)),"아이템 아님")</f>
        <v>나무 대검</v>
      </c>
      <c r="G11" s="10">
        <v>11010</v>
      </c>
      <c r="H11" s="5">
        <v>1</v>
      </c>
      <c r="J11" s="7" t="s">
        <v>319</v>
      </c>
      <c r="K11" s="7">
        <v>200</v>
      </c>
      <c r="P11" s="18" t="s">
        <v>159</v>
      </c>
      <c r="Q11" s="18" t="s">
        <v>3</v>
      </c>
      <c r="R11" s="18" t="s">
        <v>169</v>
      </c>
      <c r="S11" s="18" t="s">
        <v>170</v>
      </c>
      <c r="T11" s="18" t="s">
        <v>195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IF(E12=2,INDEX('11.Item_Table'!E:E,MATCH(G12,'11.Item_Table'!B:B,0)),"아이템 아님")</f>
        <v>조잡한 대검</v>
      </c>
      <c r="G12" s="10">
        <v>11011</v>
      </c>
      <c r="H12" s="5">
        <v>1</v>
      </c>
      <c r="J12" s="7" t="s">
        <v>305</v>
      </c>
      <c r="K12" s="7">
        <f>SUM(K5:K11)</f>
        <v>10000</v>
      </c>
      <c r="P12" s="18">
        <v>1</v>
      </c>
      <c r="Q12" s="18" t="s">
        <v>171</v>
      </c>
      <c r="R12" s="18" t="s">
        <v>172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IF(E13=2,INDEX('11.Item_Table'!E:E,MATCH(G13,'11.Item_Table'!B:B,0)),"아이템 아님")</f>
        <v>철제 대검</v>
      </c>
      <c r="G13" s="10">
        <v>11012</v>
      </c>
      <c r="H13" s="5">
        <v>1</v>
      </c>
      <c r="P13" s="18">
        <v>2</v>
      </c>
      <c r="Q13" s="18" t="s">
        <v>173</v>
      </c>
      <c r="R13" s="18" t="s">
        <v>5</v>
      </c>
      <c r="S13" s="18" t="s">
        <v>176</v>
      </c>
      <c r="T13" s="18" t="s">
        <v>196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IF(E14=2,INDEX('11.Item_Table'!E:E,MATCH(G14,'11.Item_Table'!B:B,0)),"아이템 아님")</f>
        <v>나무 스태프</v>
      </c>
      <c r="G14" s="10">
        <v>11013</v>
      </c>
      <c r="H14" s="5">
        <v>1</v>
      </c>
      <c r="P14" s="18">
        <v>3</v>
      </c>
      <c r="Q14" s="18" t="s">
        <v>174</v>
      </c>
      <c r="R14" s="18" t="s">
        <v>172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IF(E15=2,INDEX('11.Item_Table'!E:E,MATCH(G15,'11.Item_Table'!B:B,0)),"아이템 아님")</f>
        <v>조잡한 스태프</v>
      </c>
      <c r="G15" s="10">
        <v>11014</v>
      </c>
      <c r="H15" s="5">
        <v>1</v>
      </c>
      <c r="J15" s="7" t="s">
        <v>300</v>
      </c>
      <c r="K15" s="7">
        <v>5005</v>
      </c>
      <c r="P15" s="18">
        <v>4</v>
      </c>
      <c r="Q15" s="18" t="s">
        <v>175</v>
      </c>
      <c r="R15" s="18" t="s">
        <v>177</v>
      </c>
      <c r="S15" s="18"/>
      <c r="T15" s="18" t="s">
        <v>197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IF(E16=2,INDEX('11.Item_Table'!E:E,MATCH(G16,'11.Item_Table'!B:B,0)),"아이템 아님")</f>
        <v>고목 스태프</v>
      </c>
      <c r="G16" s="10">
        <v>11015</v>
      </c>
      <c r="H16" s="5">
        <v>1</v>
      </c>
      <c r="J16" s="7" t="s">
        <v>301</v>
      </c>
      <c r="K16" s="7">
        <v>3003</v>
      </c>
      <c r="P16" s="18">
        <v>5</v>
      </c>
      <c r="Q16" s="18" t="s">
        <v>193</v>
      </c>
      <c r="R16" s="18" t="s">
        <v>194</v>
      </c>
      <c r="S16" s="18"/>
      <c r="T16" s="18" t="s">
        <v>198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IF(E17=2,INDEX('11.Item_Table'!E:E,MATCH(G17,'11.Item_Table'!B:B,0)),"아이템 아님")</f>
        <v>간장</v>
      </c>
      <c r="G17" s="10">
        <v>11016</v>
      </c>
      <c r="H17" s="5">
        <v>1</v>
      </c>
      <c r="J17" s="7" t="s">
        <v>302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IF(E18=2,INDEX('11.Item_Table'!E:E,MATCH(G18,'11.Item_Table'!B:B,0)),"아이템 아님")</f>
        <v>막야</v>
      </c>
      <c r="G18" s="10">
        <v>11017</v>
      </c>
      <c r="H18" s="5">
        <v>1</v>
      </c>
      <c r="J18" s="7" t="s">
        <v>303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IF(E19=2,INDEX('11.Item_Table'!E:E,MATCH(G19,'11.Item_Table'!B:B,0)),"아이템 아님")</f>
        <v>팔콘 블레이드</v>
      </c>
      <c r="G19" s="10">
        <v>11018</v>
      </c>
      <c r="H19" s="5">
        <v>1</v>
      </c>
      <c r="J19" s="7" t="s">
        <v>304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IF(E20=2,INDEX('11.Item_Table'!E:E,MATCH(G20,'11.Item_Table'!B:B,0)),"아이템 아님")</f>
        <v>바보의 활</v>
      </c>
      <c r="G20" s="10">
        <v>11019</v>
      </c>
      <c r="H20" s="5">
        <v>1</v>
      </c>
      <c r="J20" s="7" t="s">
        <v>318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IF(E21=2,INDEX('11.Item_Table'!E:E,MATCH(G21,'11.Item_Table'!B:B,0)),"아이템 아님")</f>
        <v>듀얼 쇼크</v>
      </c>
      <c r="G21" s="10">
        <v>11020</v>
      </c>
      <c r="H21" s="5">
        <v>1</v>
      </c>
      <c r="J21" s="7" t="s">
        <v>319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IF(E22=2,INDEX('11.Item_Table'!E:E,MATCH(G22,'11.Item_Table'!B:B,0)),"아이템 아님")</f>
        <v>휴대용 발리스타</v>
      </c>
      <c r="G22" s="10">
        <v>11021</v>
      </c>
      <c r="H22" s="5">
        <v>1</v>
      </c>
      <c r="J22" s="7" t="s">
        <v>305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IF(E23=2,INDEX('11.Item_Table'!E:E,MATCH(G23,'11.Item_Table'!B:B,0)),"아이템 아님")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IF(E24=2,INDEX('11.Item_Table'!E:E,MATCH(G24,'11.Item_Table'!B:B,0)),"아이템 아님")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IF(E25=2,INDEX('11.Item_Table'!E:E,MATCH(G25,'11.Item_Table'!B:B,0)),"아이템 아님")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IF(E26=2,INDEX('11.Item_Table'!E:E,MATCH(G26,'11.Item_Table'!B:B,0)),"아이템 아님")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IF(E27=2,INDEX('11.Item_Table'!E:E,MATCH(G27,'11.Item_Table'!B:B,0)),"아이템 아님")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IF(E28=2,INDEX('11.Item_Table'!E:E,MATCH(G28,'11.Item_Table'!B:B,0)),"아이템 아님")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IF(E29=2,INDEX('11.Item_Table'!E:E,MATCH(G29,'11.Item_Table'!B:B,0)),"아이템 아님")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IF(E30=2,INDEX('11.Item_Table'!E:E,MATCH(G30,'11.Item_Table'!B:B,0)),"아이템 아님")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IF(E31=2,INDEX('11.Item_Table'!E:E,MATCH(G31,'11.Item_Table'!B:B,0)),"아이템 아님")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IF(E32=2,INDEX('11.Item_Table'!E:E,MATCH(G32,'11.Item_Table'!B:B,0)),"아이템 아님")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IF(E33=2,INDEX('11.Item_Table'!E:E,MATCH(G33,'11.Item_Table'!B:B,0)),"아이템 아님")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IF(E34=2,INDEX('11.Item_Table'!E:E,MATCH(G34,'11.Item_Table'!B:B,0)),"아이템 아님")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IF(E35=2,INDEX('11.Item_Table'!E:E,MATCH(G35,'11.Item_Table'!B:B,0)),"아이템 아님")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IF(E36=2,INDEX('11.Item_Table'!E:E,MATCH(G36,'11.Item_Table'!B:B,0)),"아이템 아님")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IF(E37=2,INDEX('11.Item_Table'!E:E,MATCH(G37,'11.Item_Table'!B:B,0)),"아이템 아님")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IF(E38=2,INDEX('11.Item_Table'!E:E,MATCH(G38,'11.Item_Table'!B:B,0)),"아이템 아님")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IF(E39=2,INDEX('11.Item_Table'!E:E,MATCH(G39,'11.Item_Table'!B:B,0)),"아이템 아님")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IF(E40=2,INDEX('11.Item_Table'!E:E,MATCH(G40,'11.Item_Table'!B:B,0)),"아이템 아님")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IF(E41=2,INDEX('11.Item_Table'!E:E,MATCH(G41,'11.Item_Table'!B:B,0)),"아이템 아님")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IF(E42=2,INDEX('11.Item_Table'!E:E,MATCH(G42,'11.Item_Table'!B:B,0)),"아이템 아님")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IF(E43=2,INDEX('11.Item_Table'!E:E,MATCH(G43,'11.Item_Table'!B:B,0)),"아이템 아님")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IF(E44=2,INDEX('11.Item_Table'!E:E,MATCH(G44,'11.Item_Table'!B:B,0)),"아이템 아님")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IF(E45=2,INDEX('11.Item_Table'!E:E,MATCH(G45,'11.Item_Table'!B:B,0)),"아이템 아님")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IF(E46=2,INDEX('11.Item_Table'!E:E,MATCH(G46,'11.Item_Table'!B:B,0)),"아이템 아님")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IF(E47=2,INDEX('11.Item_Table'!E:E,MATCH(G47,'11.Item_Table'!B:B,0)),"아이템 아님")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IF(E48=2,INDEX('11.Item_Table'!E:E,MATCH(G48,'11.Item_Table'!B:B,0)),"아이템 아님")</f>
        <v>4랭크 임시 무기</v>
      </c>
      <c r="G48" s="5">
        <v>11037</v>
      </c>
      <c r="H48" s="5">
        <v>1</v>
      </c>
    </row>
    <row r="49" spans="1:8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IF(E49=2,INDEX('11.Item_Table'!E:E,MATCH(G49,'11.Item_Table'!B:B,0)),"아이템 아님")</f>
        <v>4랭크 임시 무기</v>
      </c>
      <c r="G49" s="5">
        <v>11038</v>
      </c>
      <c r="H49" s="5">
        <v>1</v>
      </c>
    </row>
    <row r="50" spans="1:8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IF(E50=2,INDEX('11.Item_Table'!E:E,MATCH(G50,'11.Item_Table'!B:B,0)),"아이템 아님")</f>
        <v>4랭크 임시 무기</v>
      </c>
      <c r="G50" s="5">
        <v>11039</v>
      </c>
      <c r="H50" s="5">
        <v>1</v>
      </c>
    </row>
    <row r="51" spans="1:8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IF(E51=2,INDEX('11.Item_Table'!E:E,MATCH(G51,'11.Item_Table'!B:B,0)),"아이템 아님")</f>
        <v>4랭크 임시 무기</v>
      </c>
      <c r="G51" s="5">
        <v>11040</v>
      </c>
      <c r="H51" s="5">
        <v>1</v>
      </c>
    </row>
    <row r="52" spans="1:8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IF(E52=2,INDEX('11.Item_Table'!E:E,MATCH(G52,'11.Item_Table'!B:B,0)),"아이템 아님")</f>
        <v>체력 회복 물약</v>
      </c>
      <c r="G52" s="5">
        <v>20001</v>
      </c>
      <c r="H52" s="5">
        <v>30</v>
      </c>
    </row>
    <row r="53" spans="1:8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IF(E53=2,INDEX('11.Item_Table'!E:E,MATCH(G53,'11.Item_Table'!B:B,0)),"아이템 아님")</f>
        <v>목검, 조잡한 검, 철제 검</v>
      </c>
      <c r="G53" s="5">
        <v>30001</v>
      </c>
      <c r="H53" s="5">
        <v>1</v>
      </c>
    </row>
    <row r="54" spans="1:8" x14ac:dyDescent="0.3">
      <c r="F54" s="23"/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11.Item_Table</vt:lpstr>
      <vt:lpstr>11.아이템 테이블 설명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2024-05-29T14:13:51Z</dcterms:modified>
</cp:coreProperties>
</file>