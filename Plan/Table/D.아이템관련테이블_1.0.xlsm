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25655E2-EB4A-4363-BE35-5A65D2D2727B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62" i="1" l="1"/>
  <c r="AH63" i="1"/>
  <c r="AH64" i="1"/>
  <c r="AH65" i="1"/>
  <c r="AH66" i="1"/>
  <c r="AH67" i="1"/>
  <c r="AH68" i="1"/>
  <c r="AH69" i="1"/>
  <c r="AH70" i="1"/>
  <c r="AH61" i="1" l="1"/>
  <c r="AH60" i="1"/>
  <c r="AH59" i="1"/>
  <c r="AH57" i="1"/>
  <c r="AH58" i="1"/>
  <c r="AH56" i="1"/>
  <c r="AH55" i="1"/>
  <c r="AH54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2" i="1"/>
  <c r="K2" i="3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<sst xmlns="http://schemas.openxmlformats.org/spreadsheetml/2006/main" count="914" uniqueCount="562">
  <si>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</si>
  <si>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</si>
  <si>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</si>
  <si>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</si>
  <si>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</si>
  <si>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</si>
  <si>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</si>
  <si>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</si>
  <si>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</si>
  <si>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</si>
  <si>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</si>
  <si>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</si>
  <si>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</si>
  <si>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</si>
  <si>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</si>
  <si>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</si>
  <si>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</si>
  <si>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</si>
  <si>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</si>
  <si>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</si>
  <si>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</si>
  <si>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</si>
  <si>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</si>
  <si>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</si>
  <si>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</si>
  <si>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</si>
  <si>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</si>
  <si>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</si>
  <si>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</si>
  <si>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</si>
  <si>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</si>
  <si>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</si>
  <si>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</si>
  <si>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</si>
  <si>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</si>
  <si>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</si>
  <si>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</si>
  <si>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</si>
  <si>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</si>
  <si>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</si>
  <si>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</si>
  <si>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</si>
  <si>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</si>
  <si>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</si>
  <si>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</si>
  <si>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</si>
  <si>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</si>
  <si>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</si>
  <si>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</si>
  <si>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</si>
  <si>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</si>
  <si>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</si>
  <si>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</si>
  <si>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</si>
  <si>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</si>
  <si>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</si>
  <si>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</si>
  <si>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</si>
  <si>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</si>
  <si>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</si>
  <si>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</si>
  <si>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</si>
  <si>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</si>
  <si>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</si>
  <si>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</si>
  <si>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</si>
  <si>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</si>
  <si>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</si>
  <si>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</si>
  <si>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</si>
  <si>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</si>
  <si>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</si>
  <si>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</si>
  <si>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</si>
  <si>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</si>
  <si>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</si>
  <si>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</si>
  <si>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</si>
  <si>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</si>
  <si>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</si>
  <si>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</si>
  <si>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</si>
  <si>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</si>
  <si>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</si>
  <si>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</si>
  <si>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</si>
  <si>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</si>
  <si>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</si>
  <si>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</si>
  <si>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</si>
  <si>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</si>
  <si>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</si>
  <si>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</si>
  <si>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</si>
  <si>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</si>
  <si>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</si>
  <si>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</si>
  <si>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</si>
  <si>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</si>
  <si>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</si>
  <si>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</si>
  <si>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</si>
  <si>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</si>
  <si>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</si>
  <si>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</si>
  <si>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</si>
  <si>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</si>
  <si>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</si>
  <si>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</si>
  <si>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</si>
  <si>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</si>
  <si>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</si>
  <si>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</si>
  <si>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</si>
  <si>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</si>
  <si>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</si>
  <si>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</si>
  <si>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</si>
  <si>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</si>
  <si>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</si>
  <si>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</si>
  <si>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</si>
  <si>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</si>
  <si>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</si>
  <si>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</si>
  <si>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</si>
  <si>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</si>
  <si>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</si>
  <si>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</si>
  <si>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</si>
  <si>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</si>
  <si>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</si>
  <si>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</si>
  <si>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</si>
  <si>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</si>
  <si>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</si>
  <si>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</si>
  <si>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</si>
  <si>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</si>
  <si>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</si>
  <si>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</si>
  <si>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</si>
  <si>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</si>
  <si>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</si>
  <si>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</si>
  <si>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</si>
  <si>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</si>
  <si>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</si>
  <si>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</si>
  <si>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</si>
  <si>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</si>
  <si>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</si>
  <si>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</si>
  <si>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</si>
  <si>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</si>
  <si>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</si>
  <si>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</si>
  <si>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</si>
  <si>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</si>
  <si>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</si>
  <si>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</si>
  <si>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</si>
  <si>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</si>
  <si>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</si>
  <si>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</si>
  <si>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</si>
  <si>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</si>
  <si>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</si>
  <si>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</si>
  <si>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</si>
  <si>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</si>
  <si>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</si>
  <si>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</si>
  <si>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</si>
  <si>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</si>
  <si>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</si>
  <si>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</si>
  <si>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</si>
  <si>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</si>
  <si>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</si>
  <si>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</si>
  <si>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</si>
  <si>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</si>
  <si>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</si>
  <si>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</si>
  <si>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</si>
  <si>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</si>
  <si>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</si>
  <si>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</si>
  <si>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</si>
  <si>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</si>
  <si>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</si>
  <si>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</si>
  <si>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</si>
  <si>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</si>
  <si>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</si>
  <si>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</si>
  <si>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</si>
  <si>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</si>
  <si>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</si>
  <si>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</si>
  <si>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</si>
  <si>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</si>
  <si>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</si>
  <si>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</si>
  <si>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</si>
  <si>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</si>
  <si>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</si>
  <si>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</si>
  <si>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</si>
  <si>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</si>
  <si>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</si>
  <si>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</si>
  <si>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</si>
  <si>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</si>
  <si>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</si>
  <si>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</si>
  <si>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</si>
  <si>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</si>
  <si>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</si>
  <si>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</si>
  <si>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</si>
  <si>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</si>
  <si>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</si>
  <si>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</si>
  <si>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</si>
  <si>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</si>
  <si>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</si>
  <si>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</si>
  <si>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</si>
  <si>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</si>
  <si>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</si>
  <si>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</si>
  <si>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</si>
  <si>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</si>
  <si>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</si>
  <si>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</si>
  <si>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</si>
  <si>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</si>
  <si>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</si>
  <si>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</si>
  <si>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</si>
  <si>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</si>
  <si>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</si>
  <si>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</si>
  <si>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</si>
  <si>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</si>
  <si>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</si>
  <si>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</si>
  <si>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</si>
  <si>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</si>
  <si>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</si>
  <si>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</si>
  <si>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</si>
  <si>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</si>
  <si>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</si>
  <si>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</si>
  <si>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</si>
  <si>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</si>
  <si>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</si>
  <si>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</si>
  <si>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</si>
  <si>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</si>
  <si>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</si>
  <si>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</si>
  <si>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</si>
  <si>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</si>
  <si>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</si>
  <si>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</si>
  <si>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</si>
  <si>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</si>
  <si>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</si>
  <si>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</si>
  <si>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</si>
  <si>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</si>
  <si>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</si>
  <si>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</si>
  <si>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</si>
  <si>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</si>
  <si>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</si>
  <si>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</si>
  <si>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</si>
  <si>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</si>
  <si>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</si>
  <si>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</si>
  <si>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</si>
  <si>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</si>
  <si>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</si>
  <si>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</si>
  <si>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</si>
  <si>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</si>
  <si>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</si>
  <si>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</si>
  <si>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</si>
  <si>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</si>
  <si>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</si>
  <si>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</si>
  <si>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</si>
  <si>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</si>
  <si>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</si>
  <si>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</si>
  <si>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</si>
  <si>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</si>
  <si>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</si>
  <si>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</si>
  <si>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</si>
  <si>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</si>
  <si>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</si>
  <si>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</si>
  <si>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</si>
  <si>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</si>
  <si>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</si>
  <si>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</si>
  <si>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</si>
  <si>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</si>
  <si>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</si>
  <si>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</si>
  <si>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</si>
  <si>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</si>
  <si>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</si>
  <si>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</si>
  <si>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</si>
  <si>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</si>
  <si>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</si>
  <si>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</si>
  <si>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</si>
  <si>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</si>
  <si>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</si>
  <si>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</si>
  <si>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</si>
  <si>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</si>
  <si>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</si>
  <si>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</si>
  <si>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</si>
  <si>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</si>
  <si>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</si>
  <si>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</si>
  <si>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</si>
  <si>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</si>
  <si>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</si>
  <si>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</si>
  <si>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</si>
  <si>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</si>
  <si>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</si>
  <si>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</si>
  <si>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</si>
  <si>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</si>
  <si>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</si>
  <si>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</si>
  <si>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</si>
  <si>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</si>
  <si>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</si>
  <si>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</si>
  <si>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</si>
  <si>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</si>
  <si>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</si>
  <si>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</si>
  <si>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</si>
  <si>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</si>
  <si>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</si>
  <si>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</si>
  <si>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</si>
  <si>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</si>
  <si>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</si>
  <si>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</si>
  <si>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</si>
  <si>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</si>
  <si>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</si>
  <si>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</si>
  <si>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</si>
  <si>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</si>
  <si>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</si>
  <si>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</si>
  <si>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</si>
  <si>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</si>
  <si>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</si>
  <si>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</si>
  <si>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</si>
  <si>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</si>
  <si>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</si>
  <si>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</si>
  <si>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</si>
  <si>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</si>
  <si>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</si>
  <si>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</si>
  <si>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</si>
  <si>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</si>
  <si>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</si>
  <si>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</si>
  <si>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</si>
  <si>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</si>
  <si>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</si>
  <si>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</si>
  <si>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</si>
  <si>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</si>
  <si>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</si>
  <si>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</si>
  <si>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</si>
  <si>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</si>
  <si>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</si>
  <si>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</si>
  <si>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</si>
  <si>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</si>
  <si>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</si>
  <si>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</si>
  <si>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</si>
  <si>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</si>
  <si>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</si>
  <si>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</si>
  <si>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</si>
  <si>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</si>
  <si>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</si>
  <si>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</si>
  <si>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</si>
  <si>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</si>
  <si>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</si>
  <si>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</si>
  <si>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</si>
  <si>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</si>
  <si>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</si>
  <si>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</si>
  <si>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</si>
  <si>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</si>
  <si>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</si>
  <si>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</si>
  <si>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</si>
  <si>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</si>
  <si>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</si>
  <si>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</si>
  <si>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</si>
  <si>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</si>
  <si>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</si>
  <si>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</si>
  <si>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</si>
  <si>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</si>
  <si>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</si>
  <si>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</si>
  <si>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</si>
  <si>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</si>
  <si>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</si>
  <si>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</si>
  <si>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</si>
  <si>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</si>
  <si>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</si>
  <si>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</si>
  <si>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</si>
  <si>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</si>
  <si>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</si>
  <si>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</si>
  <si>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</si>
  <si>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</si>
  <si>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</si>
  <si>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</si>
  <si>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</si>
  <si>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</si>
  <si>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</si>
  <si>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</si>
  <si>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</si>
  <si>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</si>
  <si>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</si>
  <si>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</si>
  <si>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</si>
  <si>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</si>
  <si>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</si>
  <si>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</si>
  <si>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</si>
  <si>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</si>
  <si>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</si>
  <si>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</si>
  <si>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</si>
  <si>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</si>
  <si>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</si>
  <si>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</si>
  <si>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</si>
  <si>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</si>
  <si>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</si>
  <si>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</si>
  <si>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</si>
  <si>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</si>
  <si>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</si>
  <si>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</si>
  <si>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</si>
  <si>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</si>
  <si>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</si>
  <si>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</si>
  <si>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</si>
  <si>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</si>
  <si>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</si>
  <si>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</si>
  <si>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</si>
  <si>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</si>
  <si>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</si>
  <si>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</si>
  <si>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</si>
  <si>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</si>
  <si>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</si>
  <si>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</si>
  <si>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</si>
  <si>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</si>
  <si>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</si>
  <si>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</si>
  <si>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</si>
  <si>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</si>
  <si>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</si>
  <si>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</si>
  <si>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</si>
  <si>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</si>
  <si>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</si>
  <si>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</si>
  <si>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</si>
  <si>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</si>
  <si>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</si>
  <si>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</si>
  <si>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</si>
  <si>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</si>
  <si>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</si>
  <si>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</si>
  <si>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</si>
  <si>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</si>
  <si>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</si>
  <si>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</si>
  <si>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</si>
  <si>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</si>
  <si>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</si>
  <si>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</si>
  <si>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</si>
  <si>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</si>
  <si>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</si>
  <si>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</si>
  <si>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</si>
  <si>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</si>
  <si>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</si>
  <si>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</si>
  <si>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Item_des_12001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</si>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</sst>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70"/>
  <sheetViews>
    <sheetView tabSelected="1" zoomScale="85" zoomScaleNormal="85" workbookViewId="0">
      <selection activeCell="G6" sqref="G6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ht="12.75" x14ac:dyDescent="0.3">
      <c r="A2" s="12" t="s">
        <v>197</v>
      </c>
      <c r="B2" s="10">
        <v>11001</v>
      </c>
      <c r="C2" s="30" t="s">
        <v>444</v>
      </c>
      <c r="D2" s="30" t="s">
        <v>503</v>
      </c>
      <c r="E2" s="15" t="s">
        <v>54</v>
      </c>
      <c r="F2" s="16" t="s">
        <v>253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tr">
        <f>"item_"&amp;B2</f>
        <v>item_11001</v>
      </c>
    </row>
    <row r="3" spans="1:34" ht="12.75" x14ac:dyDescent="0.3">
      <c r="A3" s="12" t="s">
        <v>197</v>
      </c>
      <c r="B3" s="10">
        <v>11002</v>
      </c>
      <c r="C3" s="30" t="s">
        <v>445</v>
      </c>
      <c r="D3" s="30" t="s">
        <v>504</v>
      </c>
      <c r="E3" s="15" t="s">
        <v>55</v>
      </c>
      <c r="F3" s="16" t="s">
        <v>254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 t="shared" ref="AH3:AH53" si="0">"item_"&amp;B3</f>
        <v>item_11002</v>
      </c>
    </row>
    <row r="4" spans="1:34" ht="12.75" x14ac:dyDescent="0.3">
      <c r="A4" s="12" t="s">
        <v>197</v>
      </c>
      <c r="B4" s="10">
        <v>11003</v>
      </c>
      <c r="C4" s="30" t="s">
        <v>446</v>
      </c>
      <c r="D4" s="30" t="s">
        <v>505</v>
      </c>
      <c r="E4" s="15" t="s">
        <v>56</v>
      </c>
      <c r="F4" s="16" t="s">
        <v>255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si="0"/>
        <v>item_11003</v>
      </c>
    </row>
    <row r="5" spans="1:34" ht="12.75" x14ac:dyDescent="0.3">
      <c r="A5" s="12" t="s">
        <v>197</v>
      </c>
      <c r="B5" s="10">
        <v>11004</v>
      </c>
      <c r="C5" s="30" t="s">
        <v>447</v>
      </c>
      <c r="D5" s="30" t="s">
        <v>506</v>
      </c>
      <c r="E5" s="15" t="s">
        <v>57</v>
      </c>
      <c r="F5" s="16" t="s">
        <v>256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item_11004</v>
      </c>
    </row>
    <row r="6" spans="1:34" ht="12.75" x14ac:dyDescent="0.3">
      <c r="A6" s="12" t="s">
        <v>197</v>
      </c>
      <c r="B6" s="10">
        <v>11005</v>
      </c>
      <c r="C6" s="30" t="s">
        <v>448</v>
      </c>
      <c r="D6" s="30" t="s">
        <v>507</v>
      </c>
      <c r="E6" s="15" t="s">
        <v>58</v>
      </c>
      <c r="F6" s="16" t="s">
        <v>257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item_11005</v>
      </c>
    </row>
    <row r="7" spans="1:34" ht="12.75" x14ac:dyDescent="0.3">
      <c r="A7" s="12" t="s">
        <v>197</v>
      </c>
      <c r="B7" s="10">
        <v>11006</v>
      </c>
      <c r="C7" s="30" t="s">
        <v>449</v>
      </c>
      <c r="D7" s="30" t="s">
        <v>508</v>
      </c>
      <c r="E7" s="15" t="s">
        <v>59</v>
      </c>
      <c r="F7" s="16" t="s">
        <v>258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item_11006</v>
      </c>
    </row>
    <row r="8" spans="1:34" ht="12.75" x14ac:dyDescent="0.3">
      <c r="A8" s="12" t="s">
        <v>197</v>
      </c>
      <c r="B8" s="10">
        <v>11007</v>
      </c>
      <c r="C8" s="30" t="s">
        <v>450</v>
      </c>
      <c r="D8" s="30" t="s">
        <v>509</v>
      </c>
      <c r="E8" s="15" t="s">
        <v>60</v>
      </c>
      <c r="F8" s="16" t="s">
        <v>259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item_11007</v>
      </c>
    </row>
    <row r="9" spans="1:34" ht="12.75" x14ac:dyDescent="0.3">
      <c r="A9" s="12" t="s">
        <v>197</v>
      </c>
      <c r="B9" s="10">
        <v>11008</v>
      </c>
      <c r="C9" s="30" t="s">
        <v>451</v>
      </c>
      <c r="D9" s="30" t="s">
        <v>510</v>
      </c>
      <c r="E9" s="15" t="s">
        <v>61</v>
      </c>
      <c r="F9" s="16" t="s">
        <v>260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item_11008</v>
      </c>
    </row>
    <row r="10" spans="1:34" ht="12.75" x14ac:dyDescent="0.3">
      <c r="A10" s="12" t="s">
        <v>197</v>
      </c>
      <c r="B10" s="10">
        <v>11009</v>
      </c>
      <c r="C10" s="30" t="s">
        <v>452</v>
      </c>
      <c r="D10" s="30" t="s">
        <v>511</v>
      </c>
      <c r="E10" s="15" t="s">
        <v>62</v>
      </c>
      <c r="F10" s="16" t="s">
        <v>261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item_11009</v>
      </c>
    </row>
    <row r="11" spans="1:34" ht="12.75" x14ac:dyDescent="0.3">
      <c r="A11" s="12" t="s">
        <v>197</v>
      </c>
      <c r="B11" s="10">
        <v>11010</v>
      </c>
      <c r="C11" s="30" t="s">
        <v>453</v>
      </c>
      <c r="D11" s="30" t="s">
        <v>512</v>
      </c>
      <c r="E11" s="15" t="s">
        <v>63</v>
      </c>
      <c r="F11" s="16" t="s">
        <v>262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item_11010</v>
      </c>
    </row>
    <row r="12" spans="1:34" ht="12.75" x14ac:dyDescent="0.3">
      <c r="A12" s="12" t="s">
        <v>197</v>
      </c>
      <c r="B12" s="10">
        <v>11011</v>
      </c>
      <c r="C12" s="30" t="s">
        <v>454</v>
      </c>
      <c r="D12" s="30" t="s">
        <v>513</v>
      </c>
      <c r="E12" s="15" t="s">
        <v>64</v>
      </c>
      <c r="F12" s="16" t="s">
        <v>263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item_11011</v>
      </c>
    </row>
    <row r="13" spans="1:34" ht="12.75" x14ac:dyDescent="0.3">
      <c r="A13" s="12" t="s">
        <v>197</v>
      </c>
      <c r="B13" s="10">
        <v>11012</v>
      </c>
      <c r="C13" s="30" t="s">
        <v>455</v>
      </c>
      <c r="D13" s="30" t="s">
        <v>514</v>
      </c>
      <c r="E13" s="15" t="s">
        <v>65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item_11012</v>
      </c>
    </row>
    <row r="14" spans="1:34" ht="12.75" x14ac:dyDescent="0.3">
      <c r="A14" s="12" t="s">
        <v>197</v>
      </c>
      <c r="B14" s="10">
        <v>11013</v>
      </c>
      <c r="C14" s="30" t="s">
        <v>456</v>
      </c>
      <c r="D14" s="30" t="s">
        <v>515</v>
      </c>
      <c r="E14" s="15" t="s">
        <v>66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item_11013</v>
      </c>
    </row>
    <row r="15" spans="1:34" ht="12.75" x14ac:dyDescent="0.3">
      <c r="A15" s="12" t="s">
        <v>197</v>
      </c>
      <c r="B15" s="10">
        <v>11014</v>
      </c>
      <c r="C15" s="30" t="s">
        <v>457</v>
      </c>
      <c r="D15" s="30" t="s">
        <v>516</v>
      </c>
      <c r="E15" s="15" t="s">
        <v>67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item_11014</v>
      </c>
    </row>
    <row r="16" spans="1:34" ht="12.75" x14ac:dyDescent="0.3">
      <c r="A16" s="12" t="s">
        <v>197</v>
      </c>
      <c r="B16" s="10">
        <v>11015</v>
      </c>
      <c r="C16" s="30" t="s">
        <v>458</v>
      </c>
      <c r="D16" s="30" t="s">
        <v>517</v>
      </c>
      <c r="E16" s="15" t="s">
        <v>68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item_11015</v>
      </c>
    </row>
    <row r="17" spans="1:34" ht="12.75" x14ac:dyDescent="0.3">
      <c r="A17" s="12" t="s">
        <v>197</v>
      </c>
      <c r="B17" s="10">
        <v>11016</v>
      </c>
      <c r="C17" s="30" t="s">
        <v>459</v>
      </c>
      <c r="D17" s="30" t="s">
        <v>518</v>
      </c>
      <c r="E17" s="15" t="s">
        <v>198</v>
      </c>
      <c r="F17" s="16" t="s">
        <v>199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item_11016</v>
      </c>
    </row>
    <row r="18" spans="1:34" ht="12.75" x14ac:dyDescent="0.3">
      <c r="A18" s="12" t="s">
        <v>197</v>
      </c>
      <c r="B18" s="10">
        <v>11017</v>
      </c>
      <c r="C18" s="30" t="s">
        <v>460</v>
      </c>
      <c r="D18" s="30" t="s">
        <v>519</v>
      </c>
      <c r="E18" s="15" t="s">
        <v>200</v>
      </c>
      <c r="F18" s="16" t="s">
        <v>201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item_11017</v>
      </c>
    </row>
    <row r="19" spans="1:34" ht="12.75" x14ac:dyDescent="0.3">
      <c r="A19" s="12" t="s">
        <v>197</v>
      </c>
      <c r="B19" s="10">
        <v>11018</v>
      </c>
      <c r="C19" s="30" t="s">
        <v>461</v>
      </c>
      <c r="D19" s="30" t="s">
        <v>520</v>
      </c>
      <c r="E19" s="15" t="s">
        <v>202</v>
      </c>
      <c r="F19" s="16" t="s">
        <v>203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item_11018</v>
      </c>
    </row>
    <row r="20" spans="1:34" ht="12.75" x14ac:dyDescent="0.3">
      <c r="A20" s="12" t="s">
        <v>197</v>
      </c>
      <c r="B20" s="10">
        <v>11019</v>
      </c>
      <c r="C20" s="30" t="s">
        <v>462</v>
      </c>
      <c r="D20" s="30" t="s">
        <v>521</v>
      </c>
      <c r="E20" s="15" t="s">
        <v>204</v>
      </c>
      <c r="F20" s="16" t="s">
        <v>205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item_11019</v>
      </c>
    </row>
    <row r="21" spans="1:34" ht="12.75" x14ac:dyDescent="0.3">
      <c r="A21" s="12" t="s">
        <v>197</v>
      </c>
      <c r="B21" s="10">
        <v>11020</v>
      </c>
      <c r="C21" s="30" t="s">
        <v>463</v>
      </c>
      <c r="D21" s="30" t="s">
        <v>522</v>
      </c>
      <c r="E21" s="15" t="s">
        <v>206</v>
      </c>
      <c r="F21" s="16" t="s">
        <v>207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item_11020</v>
      </c>
    </row>
    <row r="22" spans="1:34" ht="12.75" x14ac:dyDescent="0.3">
      <c r="A22" s="12" t="s">
        <v>197</v>
      </c>
      <c r="B22" s="10">
        <v>11021</v>
      </c>
      <c r="C22" s="30" t="s">
        <v>464</v>
      </c>
      <c r="D22" s="30" t="s">
        <v>523</v>
      </c>
      <c r="E22" s="15" t="s">
        <v>208</v>
      </c>
      <c r="F22" s="16" t="s">
        <v>209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item_11021</v>
      </c>
    </row>
    <row r="23" spans="1:34" ht="12.75" x14ac:dyDescent="0.3">
      <c r="A23" s="12" t="s">
        <v>197</v>
      </c>
      <c r="B23" s="10">
        <v>11022</v>
      </c>
      <c r="C23" s="30" t="s">
        <v>465</v>
      </c>
      <c r="D23" s="30" t="s">
        <v>524</v>
      </c>
      <c r="E23" s="15" t="s">
        <v>210</v>
      </c>
      <c r="F23" s="16" t="s">
        <v>211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item_11022</v>
      </c>
    </row>
    <row r="24" spans="1:34" ht="12.75" x14ac:dyDescent="0.3">
      <c r="A24" s="12" t="s">
        <v>197</v>
      </c>
      <c r="B24" s="10">
        <v>11023</v>
      </c>
      <c r="C24" s="30" t="s">
        <v>466</v>
      </c>
      <c r="D24" s="30" t="s">
        <v>525</v>
      </c>
      <c r="E24" s="15" t="s">
        <v>212</v>
      </c>
      <c r="F24" s="16" t="s">
        <v>213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item_11023</v>
      </c>
    </row>
    <row r="25" spans="1:34" ht="12.75" x14ac:dyDescent="0.3">
      <c r="A25" s="12" t="s">
        <v>197</v>
      </c>
      <c r="B25" s="10">
        <v>11024</v>
      </c>
      <c r="C25" s="30" t="s">
        <v>467</v>
      </c>
      <c r="D25" s="30" t="s">
        <v>526</v>
      </c>
      <c r="E25" s="15" t="s">
        <v>214</v>
      </c>
      <c r="F25" s="16" t="s">
        <v>215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item_11024</v>
      </c>
    </row>
    <row r="26" spans="1:34" ht="12.75" x14ac:dyDescent="0.3">
      <c r="A26" s="12" t="s">
        <v>197</v>
      </c>
      <c r="B26" s="10">
        <v>11025</v>
      </c>
      <c r="C26" s="30" t="s">
        <v>468</v>
      </c>
      <c r="D26" s="30" t="s">
        <v>527</v>
      </c>
      <c r="E26" s="15" t="s">
        <v>216</v>
      </c>
      <c r="F26" s="16" t="s">
        <v>217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item_11025</v>
      </c>
    </row>
    <row r="27" spans="1:34" ht="12.75" x14ac:dyDescent="0.3">
      <c r="A27" s="12" t="s">
        <v>197</v>
      </c>
      <c r="B27" s="10">
        <v>11026</v>
      </c>
      <c r="C27" s="30" t="s">
        <v>469</v>
      </c>
      <c r="D27" s="30" t="s">
        <v>528</v>
      </c>
      <c r="E27" s="15" t="s">
        <v>218</v>
      </c>
      <c r="F27" s="16" t="s">
        <v>219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item_11026</v>
      </c>
    </row>
    <row r="28" spans="1:34" ht="12.75" x14ac:dyDescent="0.3">
      <c r="A28" s="12" t="s">
        <v>197</v>
      </c>
      <c r="B28" s="10">
        <v>11027</v>
      </c>
      <c r="C28" s="30" t="s">
        <v>470</v>
      </c>
      <c r="D28" s="30" t="s">
        <v>529</v>
      </c>
      <c r="E28" s="15" t="s">
        <v>220</v>
      </c>
      <c r="F28" s="16" t="s">
        <v>221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item_11027</v>
      </c>
    </row>
    <row r="29" spans="1:34" ht="12.75" x14ac:dyDescent="0.3">
      <c r="A29" s="12" t="s">
        <v>197</v>
      </c>
      <c r="B29" s="10">
        <v>11028</v>
      </c>
      <c r="C29" s="30" t="s">
        <v>471</v>
      </c>
      <c r="D29" s="30" t="s">
        <v>530</v>
      </c>
      <c r="E29" s="15" t="s">
        <v>222</v>
      </c>
      <c r="F29" s="16" t="s">
        <v>223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item_11028</v>
      </c>
    </row>
    <row r="30" spans="1:34" ht="12.75" x14ac:dyDescent="0.3">
      <c r="A30" s="12" t="s">
        <v>197</v>
      </c>
      <c r="B30" s="10">
        <v>11029</v>
      </c>
      <c r="C30" s="30" t="s">
        <v>472</v>
      </c>
      <c r="D30" s="30" t="s">
        <v>531</v>
      </c>
      <c r="E30" s="15" t="s">
        <v>224</v>
      </c>
      <c r="F30" s="16" t="s">
        <v>225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item_11029</v>
      </c>
    </row>
    <row r="31" spans="1:34" ht="12.75" x14ac:dyDescent="0.3">
      <c r="A31" s="12" t="s">
        <v>197</v>
      </c>
      <c r="B31" s="10">
        <v>11030</v>
      </c>
      <c r="C31" s="30" t="s">
        <v>473</v>
      </c>
      <c r="D31" s="30" t="s">
        <v>532</v>
      </c>
      <c r="E31" s="15" t="s">
        <v>226</v>
      </c>
      <c r="F31" s="16" t="s">
        <v>227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item_11030</v>
      </c>
    </row>
    <row r="32" spans="1:34" x14ac:dyDescent="0.3">
      <c r="A32" s="19" t="s">
        <v>197</v>
      </c>
      <c r="B32" s="19">
        <v>11031</v>
      </c>
      <c r="C32" s="20">
        <v>1</v>
      </c>
      <c r="D32" s="20">
        <v>1</v>
      </c>
      <c r="E32" s="20" t="s">
        <v>300</v>
      </c>
      <c r="F32" s="21" t="s">
        <v>301</v>
      </c>
      <c r="G32" s="21">
        <v>1</v>
      </c>
      <c r="H32" s="21">
        <v>0</v>
      </c>
      <c r="I32" s="21">
        <v>4</v>
      </c>
      <c r="J32" s="21">
        <v>0</v>
      </c>
      <c r="K32" s="21">
        <v>0</v>
      </c>
      <c r="L32" s="21">
        <v>0</v>
      </c>
      <c r="M32" s="21">
        <v>1</v>
      </c>
      <c r="N32" s="21">
        <v>1</v>
      </c>
      <c r="O32" s="21">
        <v>1</v>
      </c>
      <c r="P32" s="21">
        <v>1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 t="str">
        <f t="shared" si="0"/>
        <v>item_11031</v>
      </c>
    </row>
    <row r="33" spans="1:34" x14ac:dyDescent="0.3">
      <c r="A33" s="19" t="s">
        <v>197</v>
      </c>
      <c r="B33" s="19">
        <v>11032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item_11032</v>
      </c>
    </row>
    <row r="34" spans="1:34" x14ac:dyDescent="0.3">
      <c r="A34" s="19" t="s">
        <v>197</v>
      </c>
      <c r="B34" s="19">
        <v>11033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item_11033</v>
      </c>
    </row>
    <row r="35" spans="1:34" x14ac:dyDescent="0.3">
      <c r="A35" s="19" t="s">
        <v>197</v>
      </c>
      <c r="B35" s="19">
        <v>11034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item_11034</v>
      </c>
    </row>
    <row r="36" spans="1:34" x14ac:dyDescent="0.3">
      <c r="A36" s="19" t="s">
        <v>197</v>
      </c>
      <c r="B36" s="19">
        <v>11035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item_11035</v>
      </c>
    </row>
    <row r="37" spans="1:34" x14ac:dyDescent="0.3">
      <c r="A37" s="19" t="s">
        <v>197</v>
      </c>
      <c r="B37" s="19">
        <v>11036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item_11036</v>
      </c>
    </row>
    <row r="38" spans="1:34" x14ac:dyDescent="0.3">
      <c r="A38" s="19" t="s">
        <v>197</v>
      </c>
      <c r="B38" s="19">
        <v>11037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item_11037</v>
      </c>
    </row>
    <row r="39" spans="1:34" x14ac:dyDescent="0.3">
      <c r="A39" s="19" t="s">
        <v>197</v>
      </c>
      <c r="B39" s="19">
        <v>11038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item_11038</v>
      </c>
    </row>
    <row r="40" spans="1:34" x14ac:dyDescent="0.3">
      <c r="A40" s="19" t="s">
        <v>197</v>
      </c>
      <c r="B40" s="19">
        <v>11039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item_11039</v>
      </c>
    </row>
    <row r="41" spans="1:34" x14ac:dyDescent="0.3">
      <c r="A41" s="19" t="s">
        <v>197</v>
      </c>
      <c r="B41" s="19">
        <v>11040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item_11040</v>
      </c>
    </row>
    <row r="42" spans="1:34" ht="12.75" x14ac:dyDescent="0.3">
      <c r="A42" s="12" t="s">
        <v>228</v>
      </c>
      <c r="B42" s="10">
        <v>12001</v>
      </c>
      <c r="C42" s="30" t="s">
        <v>474</v>
      </c>
      <c r="D42" s="30" t="s">
        <v>533</v>
      </c>
      <c r="E42" s="15" t="s">
        <v>229</v>
      </c>
      <c r="F42" s="16" t="s">
        <v>230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tr">
        <f t="shared" si="0"/>
        <v>item_12001</v>
      </c>
    </row>
    <row r="43" spans="1:34" ht="12.75" x14ac:dyDescent="0.3">
      <c r="A43" s="12" t="s">
        <v>228</v>
      </c>
      <c r="B43" s="10">
        <v>12002</v>
      </c>
      <c r="C43" s="30" t="s">
        <v>475</v>
      </c>
      <c r="D43" s="30" t="s">
        <v>534</v>
      </c>
      <c r="E43" s="15" t="s">
        <v>231</v>
      </c>
      <c r="F43" s="16" t="s">
        <v>232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item_12002</v>
      </c>
    </row>
    <row r="44" spans="1:34" ht="12.75" x14ac:dyDescent="0.3">
      <c r="A44" s="12" t="s">
        <v>228</v>
      </c>
      <c r="B44" s="10">
        <v>12003</v>
      </c>
      <c r="C44" s="30" t="s">
        <v>476</v>
      </c>
      <c r="D44" s="30" t="s">
        <v>535</v>
      </c>
      <c r="E44" s="15" t="s">
        <v>233</v>
      </c>
      <c r="F44" s="16" t="s">
        <v>234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item_12003</v>
      </c>
    </row>
    <row r="45" spans="1:34" ht="12.75" x14ac:dyDescent="0.3">
      <c r="A45" s="12" t="s">
        <v>228</v>
      </c>
      <c r="B45" s="10">
        <v>12004</v>
      </c>
      <c r="C45" s="30" t="s">
        <v>477</v>
      </c>
      <c r="D45" s="30" t="s">
        <v>536</v>
      </c>
      <c r="E45" s="15" t="s">
        <v>235</v>
      </c>
      <c r="F45" s="16" t="s">
        <v>236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item_12004</v>
      </c>
    </row>
    <row r="46" spans="1:34" ht="12.75" x14ac:dyDescent="0.3">
      <c r="A46" s="12" t="s">
        <v>228</v>
      </c>
      <c r="B46" s="10">
        <v>12005</v>
      </c>
      <c r="C46" s="30" t="s">
        <v>478</v>
      </c>
      <c r="D46" s="30" t="s">
        <v>537</v>
      </c>
      <c r="E46" s="15" t="s">
        <v>237</v>
      </c>
      <c r="F46" s="16" t="s">
        <v>232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item_12005</v>
      </c>
    </row>
    <row r="47" spans="1:34" ht="12.75" x14ac:dyDescent="0.3">
      <c r="A47" s="12" t="s">
        <v>228</v>
      </c>
      <c r="B47" s="10">
        <v>12006</v>
      </c>
      <c r="C47" s="30" t="s">
        <v>479</v>
      </c>
      <c r="D47" s="30" t="s">
        <v>538</v>
      </c>
      <c r="E47" s="15" t="s">
        <v>238</v>
      </c>
      <c r="F47" s="16" t="s">
        <v>234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item_12006</v>
      </c>
    </row>
    <row r="48" spans="1:34" ht="12.75" x14ac:dyDescent="0.3">
      <c r="A48" s="12" t="s">
        <v>228</v>
      </c>
      <c r="B48" s="10">
        <v>12007</v>
      </c>
      <c r="C48" s="30" t="s">
        <v>480</v>
      </c>
      <c r="D48" s="30" t="s">
        <v>539</v>
      </c>
      <c r="E48" s="15" t="s">
        <v>239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item_12007</v>
      </c>
    </row>
    <row r="49" spans="1:34" ht="12.75" x14ac:dyDescent="0.3">
      <c r="A49" s="12" t="s">
        <v>228</v>
      </c>
      <c r="B49" s="10">
        <v>12008</v>
      </c>
      <c r="C49" s="30" t="s">
        <v>481</v>
      </c>
      <c r="D49" s="30" t="s">
        <v>540</v>
      </c>
      <c r="E49" s="15" t="s">
        <v>240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item_12008</v>
      </c>
    </row>
    <row r="50" spans="1:34" ht="12.75" x14ac:dyDescent="0.3">
      <c r="A50" s="12" t="s">
        <v>228</v>
      </c>
      <c r="B50" s="10">
        <v>12009</v>
      </c>
      <c r="C50" s="30" t="s">
        <v>482</v>
      </c>
      <c r="D50" s="30" t="s">
        <v>541</v>
      </c>
      <c r="E50" s="15" t="s">
        <v>241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item_12009</v>
      </c>
    </row>
    <row r="51" spans="1:34" ht="12.75" x14ac:dyDescent="0.3">
      <c r="A51" s="12" t="s">
        <v>228</v>
      </c>
      <c r="B51" s="10">
        <v>12010</v>
      </c>
      <c r="C51" s="30" t="s">
        <v>483</v>
      </c>
      <c r="D51" s="30" t="s">
        <v>542</v>
      </c>
      <c r="E51" s="15" t="s">
        <v>242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item_12010</v>
      </c>
    </row>
    <row r="52" spans="1:34" ht="12.75" x14ac:dyDescent="0.3">
      <c r="A52" s="12" t="s">
        <v>228</v>
      </c>
      <c r="B52" s="10">
        <v>12011</v>
      </c>
      <c r="C52" s="30" t="s">
        <v>484</v>
      </c>
      <c r="D52" s="30" t="s">
        <v>543</v>
      </c>
      <c r="E52" s="15" t="s">
        <v>314</v>
      </c>
      <c r="F52" s="16">
        <v>0</v>
      </c>
      <c r="G52" s="4">
        <v>1</v>
      </c>
      <c r="H52" s="4">
        <v>0</v>
      </c>
      <c r="I52" s="4">
        <v>5</v>
      </c>
      <c r="J52" s="4">
        <v>100</v>
      </c>
      <c r="K52" s="4">
        <v>0</v>
      </c>
      <c r="L52" s="4">
        <v>0</v>
      </c>
      <c r="M52" s="4">
        <v>2048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131</v>
      </c>
      <c r="W52" s="4">
        <v>90001</v>
      </c>
      <c r="X52" s="4">
        <v>1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item_12011</v>
      </c>
    </row>
    <row r="53" spans="1:34" ht="12.75" x14ac:dyDescent="0.3">
      <c r="A53" s="12" t="s">
        <v>228</v>
      </c>
      <c r="B53" s="10">
        <v>12012</v>
      </c>
      <c r="C53" s="30" t="s">
        <v>485</v>
      </c>
      <c r="D53" s="30" t="s">
        <v>544</v>
      </c>
      <c r="E53" s="15" t="s">
        <v>388</v>
      </c>
      <c r="F53" s="16">
        <v>0</v>
      </c>
      <c r="G53" s="4">
        <v>1</v>
      </c>
      <c r="H53" s="4">
        <v>0</v>
      </c>
      <c r="I53" s="4">
        <v>4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105</v>
      </c>
      <c r="W53" s="4">
        <v>5</v>
      </c>
      <c r="X53" s="4">
        <v>0</v>
      </c>
      <c r="Y53" s="4">
        <v>123</v>
      </c>
      <c r="Z53" s="4">
        <v>16</v>
      </c>
      <c r="AA53" s="4">
        <v>100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item_12012</v>
      </c>
    </row>
    <row r="54" spans="1:34" ht="12.75" x14ac:dyDescent="0.3">
      <c r="A54" s="12" t="s">
        <v>228</v>
      </c>
      <c r="B54" s="10">
        <v>12013</v>
      </c>
      <c r="C54" s="30" t="s">
        <v>486</v>
      </c>
      <c r="D54" s="30" t="s">
        <v>545</v>
      </c>
      <c r="E54" s="15" t="s">
        <v>389</v>
      </c>
      <c r="F54" s="16">
        <v>0</v>
      </c>
      <c r="G54" s="4">
        <v>1</v>
      </c>
      <c r="H54" s="4">
        <v>0</v>
      </c>
      <c r="I54" s="4">
        <v>4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109</v>
      </c>
      <c r="W54" s="4">
        <v>0</v>
      </c>
      <c r="X54" s="4">
        <v>150</v>
      </c>
      <c r="Y54" s="4">
        <v>112</v>
      </c>
      <c r="Z54" s="4">
        <v>0</v>
      </c>
      <c r="AA54" s="4">
        <v>150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ref="AH54:AH56" si="1">"item_"&amp;B54</f>
        <v>item_12013</v>
      </c>
    </row>
    <row r="55" spans="1:34" ht="12.75" x14ac:dyDescent="0.3">
      <c r="A55" s="12" t="s">
        <v>228</v>
      </c>
      <c r="B55" s="10">
        <v>12014</v>
      </c>
      <c r="C55" s="30" t="s">
        <v>487</v>
      </c>
      <c r="D55" s="30" t="s">
        <v>546</v>
      </c>
      <c r="E55" s="15" t="s">
        <v>390</v>
      </c>
      <c r="F55" s="16">
        <v>0</v>
      </c>
      <c r="G55" s="4">
        <v>1</v>
      </c>
      <c r="H55" s="4">
        <v>0</v>
      </c>
      <c r="I55" s="4">
        <v>4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112</v>
      </c>
      <c r="W55" s="4">
        <v>0</v>
      </c>
      <c r="X55" s="4">
        <v>300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item_12014</v>
      </c>
    </row>
    <row r="56" spans="1:34" ht="12.75" x14ac:dyDescent="0.3">
      <c r="A56" s="12" t="s">
        <v>228</v>
      </c>
      <c r="B56" s="10">
        <v>12015</v>
      </c>
      <c r="C56" s="30" t="s">
        <v>488</v>
      </c>
      <c r="D56" s="30" t="s">
        <v>547</v>
      </c>
      <c r="E56" s="15" t="s">
        <v>391</v>
      </c>
      <c r="F56" s="16">
        <v>0</v>
      </c>
      <c r="G56" s="4">
        <v>1</v>
      </c>
      <c r="H56" s="4">
        <v>0</v>
      </c>
      <c r="I56" s="4">
        <v>3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107</v>
      </c>
      <c r="W56" s="4">
        <v>0</v>
      </c>
      <c r="X56" s="4">
        <v>30</v>
      </c>
      <c r="Y56" s="4">
        <v>122</v>
      </c>
      <c r="Z56" s="4">
        <v>15</v>
      </c>
      <c r="AA56" s="4">
        <v>50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item_12015</v>
      </c>
    </row>
    <row r="57" spans="1:34" ht="12.75" x14ac:dyDescent="0.3">
      <c r="A57" s="12" t="s">
        <v>228</v>
      </c>
      <c r="B57" s="10">
        <v>12016</v>
      </c>
      <c r="C57" s="30" t="s">
        <v>489</v>
      </c>
      <c r="D57" s="30" t="s">
        <v>548</v>
      </c>
      <c r="E57" s="15" t="s">
        <v>392</v>
      </c>
      <c r="F57" s="16">
        <v>0</v>
      </c>
      <c r="G57" s="4">
        <v>1</v>
      </c>
      <c r="H57" s="4">
        <v>0</v>
      </c>
      <c r="I57" s="4">
        <v>3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122</v>
      </c>
      <c r="W57" s="4">
        <v>0</v>
      </c>
      <c r="X57" s="4">
        <v>5</v>
      </c>
      <c r="Y57" s="4">
        <v>108</v>
      </c>
      <c r="Z57" s="4">
        <v>0</v>
      </c>
      <c r="AA57" s="4">
        <v>15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ref="AH57:AH58" si="2">"item_"&amp;B57</f>
        <v>item_12016</v>
      </c>
    </row>
    <row r="58" spans="1:34" ht="12.75" x14ac:dyDescent="0.3">
      <c r="A58" s="12" t="s">
        <v>228</v>
      </c>
      <c r="B58" s="10">
        <v>12017</v>
      </c>
      <c r="C58" s="30" t="s">
        <v>490</v>
      </c>
      <c r="D58" s="30" t="s">
        <v>549</v>
      </c>
      <c r="E58" s="15" t="s">
        <v>393</v>
      </c>
      <c r="F58" s="16">
        <v>0</v>
      </c>
      <c r="G58" s="4">
        <v>1</v>
      </c>
      <c r="H58" s="4">
        <v>0</v>
      </c>
      <c r="I58" s="4">
        <v>4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122</v>
      </c>
      <c r="W58" s="4">
        <v>0</v>
      </c>
      <c r="X58" s="4">
        <v>5</v>
      </c>
      <c r="Y58" s="4">
        <v>105</v>
      </c>
      <c r="Z58" s="4">
        <v>3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2"/>
        <v>item_12017</v>
      </c>
    </row>
    <row r="59" spans="1:34" ht="12.75" x14ac:dyDescent="0.3">
      <c r="A59" s="12" t="s">
        <v>228</v>
      </c>
      <c r="B59" s="10">
        <v>12018</v>
      </c>
      <c r="C59" s="30" t="s">
        <v>491</v>
      </c>
      <c r="D59" s="30" t="s">
        <v>550</v>
      </c>
      <c r="E59" s="15" t="s">
        <v>394</v>
      </c>
      <c r="F59" s="16">
        <v>0</v>
      </c>
      <c r="G59" s="4">
        <v>1</v>
      </c>
      <c r="H59" s="4">
        <v>0</v>
      </c>
      <c r="I59" s="4">
        <v>4</v>
      </c>
      <c r="J59" s="4">
        <v>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133</v>
      </c>
      <c r="W59" s="4">
        <v>1</v>
      </c>
      <c r="X59" s="4">
        <v>0</v>
      </c>
      <c r="Y59" s="4">
        <v>106</v>
      </c>
      <c r="Z59" s="4">
        <v>0</v>
      </c>
      <c r="AA59" s="4">
        <v>30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ref="AH59" si="3">"item_"&amp;B59</f>
        <v>item_12018</v>
      </c>
    </row>
    <row r="60" spans="1:34" ht="12.75" x14ac:dyDescent="0.3">
      <c r="A60" s="12" t="s">
        <v>228</v>
      </c>
      <c r="B60" s="10">
        <v>12019</v>
      </c>
      <c r="C60" s="30" t="s">
        <v>492</v>
      </c>
      <c r="D60" s="30" t="s">
        <v>551</v>
      </c>
      <c r="E60" s="15" t="s">
        <v>395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123</v>
      </c>
      <c r="W60" s="4">
        <v>15</v>
      </c>
      <c r="X60" s="4">
        <v>30</v>
      </c>
      <c r="Y60" s="4">
        <v>123</v>
      </c>
      <c r="Z60" s="4">
        <v>16</v>
      </c>
      <c r="AA60" s="4">
        <v>30</v>
      </c>
      <c r="AB60" s="4">
        <v>123</v>
      </c>
      <c r="AC60" s="4">
        <v>3</v>
      </c>
      <c r="AD60" s="4">
        <v>30</v>
      </c>
      <c r="AE60" s="4">
        <v>0</v>
      </c>
      <c r="AF60" s="4">
        <v>0</v>
      </c>
      <c r="AG60" s="4">
        <v>0</v>
      </c>
      <c r="AH60" s="4" t="str">
        <f t="shared" ref="AH60:AH70" si="4">"item_"&amp;B60</f>
        <v>item_12019</v>
      </c>
    </row>
    <row r="61" spans="1:34" ht="12.75" x14ac:dyDescent="0.3">
      <c r="A61" s="12" t="s">
        <v>228</v>
      </c>
      <c r="B61" s="10">
        <v>12020</v>
      </c>
      <c r="C61" s="30" t="s">
        <v>493</v>
      </c>
      <c r="D61" s="30" t="s">
        <v>552</v>
      </c>
      <c r="E61" s="15" t="s">
        <v>396</v>
      </c>
      <c r="F61" s="16">
        <v>0</v>
      </c>
      <c r="G61" s="4">
        <v>1</v>
      </c>
      <c r="H61" s="4">
        <v>0</v>
      </c>
      <c r="I61" s="4">
        <v>5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13</v>
      </c>
      <c r="W61" s="4">
        <v>0</v>
      </c>
      <c r="X61" s="4">
        <v>95</v>
      </c>
      <c r="Y61" s="4">
        <v>113</v>
      </c>
      <c r="Z61" s="4">
        <v>0</v>
      </c>
      <c r="AA61" s="4">
        <v>500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si="4"/>
        <v>item_12020</v>
      </c>
    </row>
    <row r="62" spans="1:34" ht="13.5" x14ac:dyDescent="0.3">
      <c r="A62" s="12" t="s">
        <v>305</v>
      </c>
      <c r="B62" s="10">
        <v>20001</v>
      </c>
      <c r="C62" s="31" t="s">
        <v>494</v>
      </c>
      <c r="D62" s="31" t="s">
        <v>553</v>
      </c>
      <c r="E62" s="15" t="s">
        <v>307</v>
      </c>
      <c r="F62" s="16">
        <v>0</v>
      </c>
      <c r="G62" s="4">
        <v>2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100</v>
      </c>
      <c r="R62" s="4">
        <v>1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4"/>
        <v>item_20001</v>
      </c>
    </row>
    <row r="63" spans="1:34" ht="13.5" x14ac:dyDescent="0.3">
      <c r="A63" s="12" t="s">
        <v>305</v>
      </c>
      <c r="B63" s="10">
        <v>20002</v>
      </c>
      <c r="C63" s="31" t="s">
        <v>495</v>
      </c>
      <c r="D63" s="31" t="s">
        <v>554</v>
      </c>
      <c r="E63" s="15" t="s">
        <v>439</v>
      </c>
      <c r="F63" s="16">
        <v>0</v>
      </c>
      <c r="G63" s="4">
        <v>2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100</v>
      </c>
      <c r="R63" s="4">
        <v>1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4"/>
        <v>item_20002</v>
      </c>
    </row>
    <row r="64" spans="1:34" ht="13.5" x14ac:dyDescent="0.3">
      <c r="A64" s="12" t="s">
        <v>305</v>
      </c>
      <c r="B64" s="10">
        <v>20003</v>
      </c>
      <c r="C64" s="31" t="s">
        <v>496</v>
      </c>
      <c r="D64" s="31" t="s">
        <v>555</v>
      </c>
      <c r="E64" s="15" t="s">
        <v>438</v>
      </c>
      <c r="F64" s="16">
        <v>0</v>
      </c>
      <c r="G64" s="4">
        <v>2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300</v>
      </c>
      <c r="R64" s="4">
        <v>1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si="4"/>
        <v>item_20003</v>
      </c>
    </row>
    <row r="65" spans="1:34" ht="13.5" x14ac:dyDescent="0.3">
      <c r="A65" s="12" t="s">
        <v>305</v>
      </c>
      <c r="B65" s="10">
        <v>20004</v>
      </c>
      <c r="C65" s="31" t="s">
        <v>497</v>
      </c>
      <c r="D65" s="31" t="s">
        <v>556</v>
      </c>
      <c r="E65" s="15" t="s">
        <v>440</v>
      </c>
      <c r="F65" s="16">
        <v>0</v>
      </c>
      <c r="G65" s="4">
        <v>2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150</v>
      </c>
      <c r="R65" s="4">
        <v>1</v>
      </c>
      <c r="S65" s="4">
        <v>0</v>
      </c>
      <c r="T65" s="4">
        <v>0</v>
      </c>
      <c r="U65" s="4">
        <v>30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4"/>
        <v>item_20004</v>
      </c>
    </row>
    <row r="66" spans="1:34" ht="13.5" x14ac:dyDescent="0.3">
      <c r="A66" s="12" t="s">
        <v>305</v>
      </c>
      <c r="B66" s="10">
        <v>20005</v>
      </c>
      <c r="C66" s="31" t="s">
        <v>498</v>
      </c>
      <c r="D66" s="31" t="s">
        <v>557</v>
      </c>
      <c r="E66" s="15" t="s">
        <v>441</v>
      </c>
      <c r="F66" s="16">
        <v>0</v>
      </c>
      <c r="G66" s="4">
        <v>2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150</v>
      </c>
      <c r="R66" s="4">
        <v>1</v>
      </c>
      <c r="S66" s="4">
        <v>30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si="4"/>
        <v>item_20005</v>
      </c>
    </row>
    <row r="67" spans="1:34" ht="13.5" x14ac:dyDescent="0.3">
      <c r="A67" s="12" t="s">
        <v>305</v>
      </c>
      <c r="B67" s="10">
        <v>20006</v>
      </c>
      <c r="C67" s="31" t="s">
        <v>499</v>
      </c>
      <c r="D67" s="31" t="s">
        <v>558</v>
      </c>
      <c r="E67" s="15" t="s">
        <v>442</v>
      </c>
      <c r="F67" s="16">
        <v>0</v>
      </c>
      <c r="G67" s="4">
        <v>2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100</v>
      </c>
      <c r="R67" s="4">
        <v>1</v>
      </c>
      <c r="S67" s="4">
        <v>0</v>
      </c>
      <c r="T67" s="4">
        <v>10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 t="str">
        <f t="shared" si="4"/>
        <v>item_20006</v>
      </c>
    </row>
    <row r="68" spans="1:34" ht="13.5" x14ac:dyDescent="0.3">
      <c r="A68" s="12" t="s">
        <v>305</v>
      </c>
      <c r="B68" s="10">
        <v>20007</v>
      </c>
      <c r="C68" s="31" t="s">
        <v>500</v>
      </c>
      <c r="D68" s="31" t="s">
        <v>559</v>
      </c>
      <c r="E68" s="15" t="s">
        <v>443</v>
      </c>
      <c r="F68" s="16">
        <v>0</v>
      </c>
      <c r="G68" s="4">
        <v>2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500</v>
      </c>
      <c r="R68" s="4">
        <v>1</v>
      </c>
      <c r="S68" s="4">
        <v>50</v>
      </c>
      <c r="T68" s="4">
        <v>100</v>
      </c>
      <c r="U68" s="4">
        <v>50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4"/>
        <v>item_20007</v>
      </c>
    </row>
    <row r="69" spans="1:34" ht="13.5" x14ac:dyDescent="0.3">
      <c r="A69" s="12" t="s">
        <v>306</v>
      </c>
      <c r="B69" s="10">
        <v>30001</v>
      </c>
      <c r="C69" s="31" t="s">
        <v>501</v>
      </c>
      <c r="D69" s="31" t="s">
        <v>560</v>
      </c>
      <c r="E69" s="15" t="s">
        <v>304</v>
      </c>
      <c r="F69" s="16">
        <v>0</v>
      </c>
      <c r="G69" s="4">
        <v>3</v>
      </c>
      <c r="H69" s="4">
        <v>0</v>
      </c>
      <c r="I69" s="4">
        <v>1</v>
      </c>
      <c r="J69" s="4">
        <v>1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4"/>
        <v>item_30001</v>
      </c>
    </row>
    <row r="70" spans="1:34" ht="13.5" x14ac:dyDescent="0.3">
      <c r="A70" s="12" t="s">
        <v>311</v>
      </c>
      <c r="B70" s="10">
        <v>90001</v>
      </c>
      <c r="C70" s="31" t="s">
        <v>502</v>
      </c>
      <c r="D70" s="31" t="s">
        <v>561</v>
      </c>
      <c r="E70" s="15" t="s">
        <v>313</v>
      </c>
      <c r="F70" s="16">
        <v>0</v>
      </c>
      <c r="G70" s="4">
        <v>4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dimension ref="B3:I89"/>
  <sheetViews>
    <sheetView topLeftCell="A43" workbookViewId="0">
      <selection activeCell="G91" sqref="G91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2" t="s">
        <v>404</v>
      </c>
      <c r="C3" s="32"/>
      <c r="D3" s="32"/>
      <c r="F3" s="33" t="s">
        <v>405</v>
      </c>
      <c r="G3" s="33"/>
      <c r="H3" s="33"/>
      <c r="I3" s="33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4" t="s">
        <v>315</v>
      </c>
      <c r="G38" s="36"/>
      <c r="H38" s="36"/>
      <c r="I38" s="35"/>
    </row>
    <row r="39" spans="2:9" x14ac:dyDescent="0.3">
      <c r="B39" s="37" t="s">
        <v>11</v>
      </c>
      <c r="C39" s="37"/>
      <c r="F39" s="34" t="s">
        <v>316</v>
      </c>
      <c r="G39" s="35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workbookViewId="0">
      <selection activeCell="L56" sqref="L56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83</v>
      </c>
      <c r="C1" s="1" t="s">
        <v>85</v>
      </c>
      <c r="D1" s="1" t="s">
        <v>87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95</v>
      </c>
      <c r="L1" s="1" t="s">
        <v>96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1" t="s">
        <v>109</v>
      </c>
      <c r="Z1" s="1" t="s">
        <v>110</v>
      </c>
      <c r="AA1" s="1" t="s">
        <v>111</v>
      </c>
      <c r="AB1" s="1" t="s">
        <v>112</v>
      </c>
      <c r="AC1" s="1" t="s">
        <v>113</v>
      </c>
      <c r="AD1" s="1" t="s">
        <v>114</v>
      </c>
      <c r="AE1" s="1" t="s">
        <v>115</v>
      </c>
      <c r="AF1" s="1" t="s">
        <v>116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38" t="s">
        <v>152</v>
      </c>
      <c r="AJ2" s="38"/>
      <c r="AK2" s="38"/>
      <c r="AM2" s="39" t="s">
        <v>157</v>
      </c>
      <c r="AN2" s="39"/>
      <c r="AO2" s="39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153</v>
      </c>
      <c r="AN3" s="5" t="s">
        <v>3</v>
      </c>
      <c r="AO3" s="5" t="s">
        <v>154</v>
      </c>
    </row>
    <row r="4" spans="1:43" x14ac:dyDescent="0.3">
      <c r="D4" s="10"/>
      <c r="AI4" s="10" t="s">
        <v>81</v>
      </c>
      <c r="AJ4" s="10" t="s">
        <v>117</v>
      </c>
      <c r="AK4" s="10" t="s">
        <v>33</v>
      </c>
      <c r="AM4" s="5">
        <v>1</v>
      </c>
      <c r="AN4" s="5" t="s">
        <v>155</v>
      </c>
      <c r="AO4" s="5" t="s">
        <v>156</v>
      </c>
    </row>
    <row r="5" spans="1:43" x14ac:dyDescent="0.3">
      <c r="AI5" s="10" t="s">
        <v>82</v>
      </c>
      <c r="AJ5" s="10" t="s">
        <v>118</v>
      </c>
      <c r="AK5" s="10" t="s">
        <v>32</v>
      </c>
      <c r="AM5" s="5">
        <v>2</v>
      </c>
      <c r="AN5" s="5" t="s">
        <v>158</v>
      </c>
      <c r="AO5" s="5" t="s">
        <v>159</v>
      </c>
    </row>
    <row r="6" spans="1:43" x14ac:dyDescent="0.3">
      <c r="AI6" s="10" t="s">
        <v>84</v>
      </c>
      <c r="AJ6" s="10" t="s">
        <v>120</v>
      </c>
      <c r="AK6" s="10" t="s">
        <v>32</v>
      </c>
      <c r="AM6" s="5">
        <v>3</v>
      </c>
      <c r="AN6" s="5" t="s">
        <v>160</v>
      </c>
      <c r="AO6" s="5" t="s">
        <v>161</v>
      </c>
    </row>
    <row r="7" spans="1:43" x14ac:dyDescent="0.3">
      <c r="AI7" s="10" t="s">
        <v>86</v>
      </c>
      <c r="AJ7" s="10" t="s">
        <v>125</v>
      </c>
      <c r="AK7" s="10" t="s">
        <v>2</v>
      </c>
    </row>
    <row r="8" spans="1:43" x14ac:dyDescent="0.3">
      <c r="AI8" s="10" t="s">
        <v>88</v>
      </c>
      <c r="AJ8" s="10" t="s">
        <v>128</v>
      </c>
      <c r="AK8" s="10" t="s">
        <v>2</v>
      </c>
    </row>
    <row r="9" spans="1:43" x14ac:dyDescent="0.3">
      <c r="AI9" s="10" t="s">
        <v>90</v>
      </c>
      <c r="AJ9" s="10" t="s">
        <v>129</v>
      </c>
      <c r="AK9" s="10" t="s">
        <v>32</v>
      </c>
    </row>
    <row r="10" spans="1:43" x14ac:dyDescent="0.3">
      <c r="AI10" s="10" t="s">
        <v>91</v>
      </c>
      <c r="AJ10" s="10" t="s">
        <v>130</v>
      </c>
      <c r="AK10" s="10" t="s">
        <v>2</v>
      </c>
      <c r="AM10" s="38" t="s">
        <v>179</v>
      </c>
      <c r="AN10" s="38"/>
      <c r="AO10" s="38"/>
      <c r="AP10" s="38"/>
      <c r="AQ10" s="38"/>
    </row>
    <row r="11" spans="1:43" x14ac:dyDescent="0.3">
      <c r="AI11" s="10" t="s">
        <v>92</v>
      </c>
      <c r="AJ11" s="10" t="s">
        <v>131</v>
      </c>
      <c r="AK11" s="10" t="s">
        <v>2</v>
      </c>
      <c r="AM11" s="18" t="s">
        <v>308</v>
      </c>
      <c r="AN11" s="18" t="s">
        <v>3</v>
      </c>
      <c r="AO11" s="18" t="s">
        <v>163</v>
      </c>
      <c r="AP11" s="18" t="s">
        <v>164</v>
      </c>
      <c r="AQ11" s="18" t="s">
        <v>189</v>
      </c>
    </row>
    <row r="12" spans="1:43" x14ac:dyDescent="0.3">
      <c r="AI12" s="10" t="s">
        <v>93</v>
      </c>
      <c r="AJ12" s="10" t="s">
        <v>132</v>
      </c>
      <c r="AK12" s="10" t="s">
        <v>32</v>
      </c>
      <c r="AM12" s="18">
        <v>1</v>
      </c>
      <c r="AN12" s="18" t="s">
        <v>165</v>
      </c>
      <c r="AO12" s="18" t="s">
        <v>166</v>
      </c>
      <c r="AP12" s="18"/>
      <c r="AQ12" s="18"/>
    </row>
    <row r="13" spans="1:43" x14ac:dyDescent="0.3">
      <c r="AI13" s="10" t="s">
        <v>94</v>
      </c>
      <c r="AJ13" s="10" t="s">
        <v>133</v>
      </c>
      <c r="AK13" s="10" t="s">
        <v>2</v>
      </c>
      <c r="AM13" s="18">
        <v>2</v>
      </c>
      <c r="AN13" s="18" t="s">
        <v>167</v>
      </c>
      <c r="AO13" s="18" t="s">
        <v>5</v>
      </c>
      <c r="AP13" s="18" t="s">
        <v>170</v>
      </c>
      <c r="AQ13" s="18" t="s">
        <v>190</v>
      </c>
    </row>
    <row r="14" spans="1:43" x14ac:dyDescent="0.3">
      <c r="AI14" s="10" t="s">
        <v>95</v>
      </c>
      <c r="AJ14" s="10" t="s">
        <v>134</v>
      </c>
      <c r="AK14" s="10" t="s">
        <v>2</v>
      </c>
      <c r="AM14" s="18">
        <v>3</v>
      </c>
      <c r="AN14" s="18" t="s">
        <v>168</v>
      </c>
      <c r="AO14" s="18" t="s">
        <v>166</v>
      </c>
      <c r="AP14" s="18"/>
      <c r="AQ14" s="18"/>
    </row>
    <row r="15" spans="1:43" x14ac:dyDescent="0.3">
      <c r="AI15" s="10" t="s">
        <v>96</v>
      </c>
      <c r="AJ15" s="10" t="s">
        <v>135</v>
      </c>
      <c r="AK15" s="10" t="s">
        <v>32</v>
      </c>
      <c r="AM15" s="18">
        <v>4</v>
      </c>
      <c r="AN15" s="18" t="s">
        <v>169</v>
      </c>
      <c r="AO15" s="18" t="s">
        <v>171</v>
      </c>
      <c r="AP15" s="18"/>
      <c r="AQ15" s="18" t="s">
        <v>191</v>
      </c>
    </row>
    <row r="16" spans="1:43" x14ac:dyDescent="0.3">
      <c r="AI16" s="10" t="s">
        <v>97</v>
      </c>
      <c r="AJ16" s="10" t="s">
        <v>136</v>
      </c>
      <c r="AK16" s="10" t="s">
        <v>2</v>
      </c>
      <c r="AM16" s="18">
        <v>5</v>
      </c>
      <c r="AN16" s="18" t="s">
        <v>187</v>
      </c>
      <c r="AO16" s="18" t="s">
        <v>188</v>
      </c>
      <c r="AP16" s="18"/>
      <c r="AQ16" s="18" t="s">
        <v>192</v>
      </c>
    </row>
    <row r="17" spans="35:37" x14ac:dyDescent="0.3">
      <c r="AI17" s="10" t="s">
        <v>98</v>
      </c>
      <c r="AJ17" s="10" t="s">
        <v>137</v>
      </c>
      <c r="AK17" s="10" t="s">
        <v>2</v>
      </c>
    </row>
    <row r="18" spans="35:37" x14ac:dyDescent="0.3">
      <c r="AI18" s="10" t="s">
        <v>99</v>
      </c>
      <c r="AJ18" s="10" t="s">
        <v>138</v>
      </c>
      <c r="AK18" s="10" t="s">
        <v>32</v>
      </c>
    </row>
    <row r="19" spans="35:37" x14ac:dyDescent="0.3">
      <c r="AI19" s="10" t="s">
        <v>100</v>
      </c>
      <c r="AJ19" s="10" t="s">
        <v>139</v>
      </c>
      <c r="AK19" s="10" t="s">
        <v>2</v>
      </c>
    </row>
    <row r="20" spans="35:37" x14ac:dyDescent="0.3">
      <c r="AI20" s="10" t="s">
        <v>101</v>
      </c>
      <c r="AJ20" s="10" t="s">
        <v>140</v>
      </c>
      <c r="AK20" s="10" t="s">
        <v>2</v>
      </c>
    </row>
    <row r="21" spans="35:37" x14ac:dyDescent="0.3">
      <c r="AI21" s="10" t="s">
        <v>102</v>
      </c>
      <c r="AJ21" s="10" t="s">
        <v>141</v>
      </c>
      <c r="AK21" s="10" t="s">
        <v>32</v>
      </c>
    </row>
    <row r="22" spans="35:37" x14ac:dyDescent="0.3">
      <c r="AI22" s="10" t="s">
        <v>103</v>
      </c>
      <c r="AJ22" s="10" t="s">
        <v>142</v>
      </c>
      <c r="AK22" s="10" t="s">
        <v>2</v>
      </c>
    </row>
    <row r="23" spans="35:37" x14ac:dyDescent="0.3">
      <c r="AI23" s="10" t="s">
        <v>104</v>
      </c>
      <c r="AJ23" s="10" t="s">
        <v>143</v>
      </c>
      <c r="AK23" s="10" t="s">
        <v>2</v>
      </c>
    </row>
    <row r="24" spans="35:37" x14ac:dyDescent="0.3">
      <c r="AI24" s="10" t="s">
        <v>105</v>
      </c>
      <c r="AJ24" s="10" t="s">
        <v>144</v>
      </c>
      <c r="AK24" s="10" t="s">
        <v>32</v>
      </c>
    </row>
    <row r="25" spans="35:37" x14ac:dyDescent="0.3">
      <c r="AI25" s="10" t="s">
        <v>106</v>
      </c>
      <c r="AJ25" s="10" t="s">
        <v>145</v>
      </c>
      <c r="AK25" s="10" t="s">
        <v>2</v>
      </c>
    </row>
    <row r="26" spans="35:37" x14ac:dyDescent="0.3">
      <c r="AI26" s="10" t="s">
        <v>107</v>
      </c>
      <c r="AJ26" s="10" t="s">
        <v>146</v>
      </c>
      <c r="AK26" s="10" t="s">
        <v>2</v>
      </c>
    </row>
    <row r="27" spans="35:37" x14ac:dyDescent="0.3">
      <c r="AI27" s="10" t="s">
        <v>108</v>
      </c>
      <c r="AJ27" s="10" t="s">
        <v>147</v>
      </c>
      <c r="AK27" s="10" t="s">
        <v>32</v>
      </c>
    </row>
    <row r="28" spans="35:37" x14ac:dyDescent="0.3">
      <c r="AI28" s="10" t="s">
        <v>109</v>
      </c>
      <c r="AJ28" s="10" t="s">
        <v>148</v>
      </c>
      <c r="AK28" s="10" t="s">
        <v>2</v>
      </c>
    </row>
    <row r="29" spans="35:37" x14ac:dyDescent="0.3">
      <c r="AI29" s="10" t="s">
        <v>110</v>
      </c>
      <c r="AJ29" s="10" t="s">
        <v>149</v>
      </c>
      <c r="AK29" s="10" t="s">
        <v>2</v>
      </c>
    </row>
    <row r="30" spans="35:37" x14ac:dyDescent="0.3">
      <c r="AI30" s="10" t="s">
        <v>111</v>
      </c>
      <c r="AJ30" s="10" t="s">
        <v>121</v>
      </c>
      <c r="AK30" s="10" t="s">
        <v>32</v>
      </c>
    </row>
    <row r="31" spans="35:37" x14ac:dyDescent="0.3">
      <c r="AI31" s="10" t="s">
        <v>112</v>
      </c>
      <c r="AJ31" s="10" t="s">
        <v>126</v>
      </c>
      <c r="AK31" s="10" t="s">
        <v>2</v>
      </c>
    </row>
    <row r="32" spans="35:37" x14ac:dyDescent="0.3">
      <c r="AI32" s="10" t="s">
        <v>113</v>
      </c>
      <c r="AJ32" s="10" t="s">
        <v>150</v>
      </c>
      <c r="AK32" s="10" t="s">
        <v>2</v>
      </c>
    </row>
    <row r="33" spans="35:37" x14ac:dyDescent="0.3">
      <c r="AI33" s="10" t="s">
        <v>114</v>
      </c>
      <c r="AJ33" s="10" t="s">
        <v>122</v>
      </c>
      <c r="AK33" s="10" t="s">
        <v>32</v>
      </c>
    </row>
    <row r="34" spans="35:37" x14ac:dyDescent="0.3">
      <c r="AI34" s="10" t="s">
        <v>115</v>
      </c>
      <c r="AJ34" s="10" t="s">
        <v>127</v>
      </c>
      <c r="AK34" s="10" t="s">
        <v>2</v>
      </c>
    </row>
    <row r="35" spans="35:37" x14ac:dyDescent="0.3">
      <c r="AI35" s="10" t="s">
        <v>116</v>
      </c>
      <c r="AJ35" s="10" t="s">
        <v>151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workbookViewId="0">
      <selection activeCell="M44" sqref="M4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38" t="s">
        <v>152</v>
      </c>
      <c r="M2" s="38"/>
      <c r="N2" s="38"/>
      <c r="P2" s="39" t="s">
        <v>193</v>
      </c>
      <c r="Q2" s="39"/>
      <c r="R2" s="39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38" t="s">
        <v>172</v>
      </c>
      <c r="Q10" s="38"/>
      <c r="R10" s="38"/>
      <c r="S10" s="38"/>
      <c r="T10" s="38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/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IF(E42=2,INDEX('11.Item_Table'!E:E,MATCH(G42,'11.Item_Table'!B:B,0)),"아이템 아님")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3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2024-06-11T12:36:09Z</dcterms:modified>
</cp:coreProperties>
</file>