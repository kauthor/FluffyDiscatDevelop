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4D568414-9B18-4BB3-9332-500639C1D3C4}" xr6:coauthVersionLast="47" xr6:coauthVersionMax="47" xr10:uidLastSave="{00000000-0000-0000-0000-000000000000}"/>
  <bookViews>
    <workbookView xWindow="-120" yWindow="-120" windowWidth="38640" windowHeight="21240" activeTab="2" xr2:uid="{F7D75391-0BA2-45E4-A254-DDD6E7E036B2}"/>
  </bookViews>
  <sheets>
    <sheet name="01.Base_Table" sheetId="1" r:id="rId1"/>
    <sheet name="02.Exp_Table" sheetId="2" r:id="rId2"/>
    <sheet name="15.Velue_Table" sheetId="4" r:id="rId3"/>
    <sheet name="16.Synergy_Table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11" i="3" l="1"/>
  <c r="AI3" i="3"/>
  <c r="AI4" i="3"/>
  <c r="AI5" i="3"/>
  <c r="AI6" i="3"/>
  <c r="AI7" i="3"/>
  <c r="AI8" i="3"/>
  <c r="AI9" i="3"/>
  <c r="AI10" i="3"/>
  <c r="AI2" i="3"/>
  <c r="AI11" i="3" s="1"/>
  <c r="AH3" i="3"/>
  <c r="AH4" i="3"/>
  <c r="AH5" i="3"/>
  <c r="AH6" i="3"/>
  <c r="AH7" i="3"/>
  <c r="AH8" i="3"/>
  <c r="AH9" i="3"/>
  <c r="AH10" i="3"/>
  <c r="AH2" i="3"/>
  <c r="AD3" i="3"/>
  <c r="AD4" i="3"/>
  <c r="AD5" i="3"/>
  <c r="AD6" i="3"/>
  <c r="AD7" i="3"/>
  <c r="AD8" i="3"/>
  <c r="AD9" i="3"/>
  <c r="AD10" i="3"/>
  <c r="AD11" i="3"/>
  <c r="AD12" i="3"/>
  <c r="AD13" i="3"/>
  <c r="AD14" i="3"/>
  <c r="AD15" i="3"/>
  <c r="AD16" i="3"/>
  <c r="AD17" i="3"/>
  <c r="AD18" i="3"/>
  <c r="AD19" i="3"/>
  <c r="AD20" i="3"/>
  <c r="AD21" i="3"/>
  <c r="AD22" i="3"/>
  <c r="AD23" i="3"/>
  <c r="AD24" i="3"/>
  <c r="AD2" i="3"/>
  <c r="AC3" i="3"/>
  <c r="AC4" i="3"/>
  <c r="AC5" i="3"/>
  <c r="AC6" i="3"/>
  <c r="AC7" i="3"/>
  <c r="AC8" i="3"/>
  <c r="AC9" i="3"/>
  <c r="AC10" i="3"/>
  <c r="AC11" i="3"/>
  <c r="AC12" i="3"/>
  <c r="AC13" i="3"/>
  <c r="AC14" i="3"/>
  <c r="AC15" i="3"/>
  <c r="AC16" i="3"/>
  <c r="AC17" i="3"/>
  <c r="AC18" i="3"/>
  <c r="AC19" i="3"/>
  <c r="AC20" i="3"/>
  <c r="AC21" i="3"/>
  <c r="AC22" i="3"/>
  <c r="AC23" i="3"/>
  <c r="AC24" i="3"/>
  <c r="AC2" i="3"/>
  <c r="E3" i="3"/>
  <c r="F3" i="3"/>
  <c r="E4" i="3"/>
  <c r="F4" i="3"/>
  <c r="E5" i="3"/>
  <c r="F5" i="3"/>
  <c r="E6" i="3"/>
  <c r="F6" i="3"/>
  <c r="E7" i="3"/>
  <c r="F7" i="3"/>
  <c r="E8" i="3"/>
  <c r="F8" i="3"/>
  <c r="E9" i="3"/>
  <c r="F9" i="3"/>
  <c r="E10" i="3"/>
  <c r="F10" i="3"/>
  <c r="E11" i="3"/>
  <c r="F11" i="3"/>
  <c r="E12" i="3"/>
  <c r="F12" i="3"/>
  <c r="E13" i="3"/>
  <c r="F13" i="3"/>
  <c r="E14" i="3"/>
  <c r="F14" i="3"/>
  <c r="E15" i="3"/>
  <c r="F15" i="3"/>
  <c r="E16" i="3"/>
  <c r="F16" i="3"/>
  <c r="E17" i="3"/>
  <c r="F17" i="3"/>
  <c r="E18" i="3"/>
  <c r="F18" i="3"/>
  <c r="E19" i="3"/>
  <c r="F19" i="3"/>
  <c r="E20" i="3"/>
  <c r="F20" i="3"/>
  <c r="E21" i="3"/>
  <c r="F21" i="3"/>
  <c r="E22" i="3"/>
  <c r="F22" i="3"/>
  <c r="E23" i="3"/>
  <c r="F23" i="3"/>
  <c r="E24" i="3"/>
  <c r="F24" i="3"/>
  <c r="E25" i="3"/>
  <c r="F25" i="3"/>
  <c r="E26" i="3"/>
  <c r="F26" i="3"/>
  <c r="E27" i="3"/>
  <c r="F27" i="3"/>
  <c r="E28" i="3"/>
  <c r="F28" i="3"/>
  <c r="E29" i="3"/>
  <c r="F29" i="3"/>
  <c r="E30" i="3"/>
  <c r="F30" i="3"/>
  <c r="E31" i="3"/>
  <c r="F31" i="3"/>
  <c r="E32" i="3"/>
  <c r="F32" i="3"/>
  <c r="E33" i="3"/>
  <c r="F33" i="3"/>
  <c r="E34" i="3"/>
  <c r="F34" i="3"/>
  <c r="E35" i="3"/>
  <c r="F35" i="3"/>
  <c r="E36" i="3"/>
  <c r="F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E46" i="3"/>
  <c r="F46" i="3"/>
  <c r="E47" i="3"/>
  <c r="F47" i="3"/>
  <c r="E48" i="3"/>
  <c r="F48" i="3"/>
  <c r="E49" i="3"/>
  <c r="F49" i="3"/>
  <c r="E50" i="3"/>
  <c r="F50" i="3"/>
  <c r="E51" i="3"/>
  <c r="F51" i="3"/>
  <c r="E52" i="3"/>
  <c r="F52" i="3"/>
  <c r="E53" i="3"/>
  <c r="F53" i="3"/>
  <c r="E54" i="3"/>
  <c r="F54" i="3"/>
  <c r="E55" i="3"/>
  <c r="F55" i="3"/>
  <c r="E56" i="3"/>
  <c r="F56" i="3"/>
  <c r="E57" i="3"/>
  <c r="F57" i="3"/>
  <c r="E58" i="3"/>
  <c r="F58" i="3"/>
  <c r="E59" i="3"/>
  <c r="F59" i="3"/>
  <c r="E60" i="3"/>
  <c r="F60" i="3"/>
  <c r="E61" i="3"/>
  <c r="F61" i="3"/>
  <c r="E62" i="3"/>
  <c r="F62" i="3"/>
  <c r="E63" i="3"/>
  <c r="F63" i="3"/>
  <c r="E64" i="3"/>
  <c r="F64" i="3"/>
  <c r="E65" i="3"/>
  <c r="F65" i="3"/>
  <c r="E66" i="3"/>
  <c r="F66" i="3"/>
  <c r="E67" i="3"/>
  <c r="F67" i="3"/>
  <c r="E68" i="3"/>
  <c r="F68" i="3"/>
  <c r="E69" i="3"/>
  <c r="F69" i="3"/>
  <c r="E70" i="3"/>
  <c r="F70" i="3"/>
  <c r="E71" i="3"/>
  <c r="F71" i="3"/>
  <c r="E72" i="3"/>
  <c r="F72" i="3"/>
  <c r="E73" i="3"/>
  <c r="F73" i="3"/>
  <c r="E74" i="3"/>
  <c r="F74" i="3"/>
  <c r="E75" i="3"/>
  <c r="F75" i="3"/>
  <c r="E76" i="3"/>
  <c r="F76" i="3"/>
  <c r="E77" i="3"/>
  <c r="F77" i="3"/>
  <c r="E78" i="3"/>
  <c r="F78" i="3"/>
  <c r="E79" i="3"/>
  <c r="F79" i="3"/>
  <c r="E80" i="3"/>
  <c r="F80" i="3"/>
  <c r="E81" i="3"/>
  <c r="F81" i="3"/>
  <c r="E82" i="3"/>
  <c r="F82" i="3"/>
  <c r="E83" i="3"/>
  <c r="F83" i="3"/>
  <c r="E84" i="3"/>
  <c r="F84" i="3"/>
  <c r="E85" i="3"/>
  <c r="F85" i="3"/>
  <c r="E86" i="3"/>
  <c r="F86" i="3"/>
  <c r="E87" i="3"/>
  <c r="F87" i="3"/>
  <c r="E88" i="3"/>
  <c r="F88" i="3"/>
  <c r="E89" i="3"/>
  <c r="F89" i="3"/>
  <c r="E90" i="3"/>
  <c r="F90" i="3"/>
  <c r="E91" i="3"/>
  <c r="F91" i="3"/>
  <c r="E92" i="3"/>
  <c r="F92" i="3"/>
  <c r="E93" i="3"/>
  <c r="F93" i="3"/>
  <c r="E94" i="3"/>
  <c r="F94" i="3"/>
  <c r="E95" i="3"/>
  <c r="F95" i="3"/>
  <c r="E96" i="3"/>
  <c r="F96" i="3"/>
  <c r="E97" i="3"/>
  <c r="F97" i="3"/>
  <c r="F2" i="3"/>
  <c r="E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2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E2" i="2"/>
  <c r="E3" i="2" s="1"/>
  <c r="E4" i="2" s="1"/>
  <c r="E5" i="2" s="1"/>
  <c r="E6" i="2" s="1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s="1"/>
  <c r="E76" i="2" s="1"/>
  <c r="E77" i="2" s="1"/>
  <c r="E78" i="2" s="1"/>
  <c r="E79" i="2" s="1"/>
  <c r="E80" i="2" s="1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91" i="2" s="1"/>
  <c r="E92" i="2" s="1"/>
  <c r="E93" i="2" s="1"/>
  <c r="E94" i="2" s="1"/>
  <c r="E95" i="2" s="1"/>
  <c r="E96" i="2" s="1"/>
  <c r="E97" i="2" s="1"/>
  <c r="E98" i="2" s="1"/>
  <c r="E99" i="2" s="1"/>
  <c r="E100" i="2" s="1"/>
  <c r="AH11" i="3" l="1"/>
</calcChain>
</file>

<file path=xl/sharedStrings.xml><?xml version="1.0" encoding="utf-8"?>
<sst xmlns="http://schemas.openxmlformats.org/spreadsheetml/2006/main" count="650" uniqueCount="233">
  <si>
    <t>Category</t>
    <phoneticPr fontId="1" type="noConversion"/>
  </si>
  <si>
    <t>id</t>
    <phoneticPr fontId="1" type="noConversion"/>
  </si>
  <si>
    <t>unit</t>
    <phoneticPr fontId="1" type="noConversion"/>
  </si>
  <si>
    <t>data</t>
    <phoneticPr fontId="1" type="noConversion"/>
  </si>
  <si>
    <t>descripton</t>
    <phoneticPr fontId="1" type="noConversion"/>
  </si>
  <si>
    <t>type</t>
    <phoneticPr fontId="1" type="noConversion"/>
  </si>
  <si>
    <t>name</t>
    <phoneticPr fontId="1" type="noConversion"/>
  </si>
  <si>
    <t>형식</t>
    <phoneticPr fontId="1" type="noConversion"/>
  </si>
  <si>
    <t>INTEGER</t>
    <phoneticPr fontId="1" type="noConversion"/>
  </si>
  <si>
    <t>정수</t>
    <phoneticPr fontId="1" type="noConversion"/>
  </si>
  <si>
    <t>PERCENT</t>
    <phoneticPr fontId="1" type="noConversion"/>
  </si>
  <si>
    <t>PERMILLE</t>
    <phoneticPr fontId="1" type="noConversion"/>
  </si>
  <si>
    <t>PER_TEN_THOUSAND</t>
    <phoneticPr fontId="1" type="noConversion"/>
  </si>
  <si>
    <t>STRING</t>
    <phoneticPr fontId="1" type="noConversion"/>
  </si>
  <si>
    <t>백분율</t>
    <phoneticPr fontId="1" type="noConversion"/>
  </si>
  <si>
    <t>천분율</t>
    <phoneticPr fontId="1" type="noConversion"/>
  </si>
  <si>
    <t>만분율</t>
    <phoneticPr fontId="1" type="noConversion"/>
  </si>
  <si>
    <t>문자열</t>
    <phoneticPr fontId="1" type="noConversion"/>
  </si>
  <si>
    <t>캐릭터</t>
    <phoneticPr fontId="1" type="noConversion"/>
  </si>
  <si>
    <t>캐릭터 대비 5레벨 이상 차이나는 스테이지에서 획득하는 경험치</t>
    <phoneticPr fontId="1" type="noConversion"/>
  </si>
  <si>
    <t>캐릭터 대비 2~4레벨 이상 차이나는 스테이지에서 획득하는 경험치</t>
    <phoneticPr fontId="1" type="noConversion"/>
  </si>
  <si>
    <t>캐릭터 대비 -1~1레벨 이상 차이나는 스테이지에서 획득하는 경험치</t>
    <phoneticPr fontId="1" type="noConversion"/>
  </si>
  <si>
    <t>캐릭터 대비 -2~-4레벨 이상 차이나는 스테이지에서 획득하는 경험치</t>
    <phoneticPr fontId="1" type="noConversion"/>
  </si>
  <si>
    <t>캐릭터 대비 -5레벨 이상 차이나는 스테이지에서 획득하는 경험치</t>
    <phoneticPr fontId="1" type="noConversion"/>
  </si>
  <si>
    <t>캐릭터 생성 시 긍정적인 특성이 붙을 확률 (시작 기준)</t>
    <phoneticPr fontId="1" type="noConversion"/>
  </si>
  <si>
    <t>캐릭터 생성 시 부정적인 특성이 붙을 확률 (시작 기준)</t>
    <phoneticPr fontId="1" type="noConversion"/>
  </si>
  <si>
    <t>캐릭터 생성 시 특성이 붙지 않을 확률 (시작 기준)</t>
    <phoneticPr fontId="1" type="noConversion"/>
  </si>
  <si>
    <t>캐릭터 맥스 레벨</t>
    <phoneticPr fontId="1" type="noConversion"/>
  </si>
  <si>
    <t>level</t>
    <phoneticPr fontId="1" type="noConversion"/>
  </si>
  <si>
    <t>next_hero_lv_need_exp</t>
    <phoneticPr fontId="1" type="noConversion"/>
  </si>
  <si>
    <t>02.Exp_Table (경험치 테이블)</t>
    <phoneticPr fontId="1" type="noConversion"/>
  </si>
  <si>
    <t>명칭</t>
    <phoneticPr fontId="1" type="noConversion"/>
  </si>
  <si>
    <t>해당 레벨에서</t>
    <phoneticPr fontId="1" type="noConversion"/>
  </si>
  <si>
    <t>다음 영웅 레벨까지 필요한 경험치</t>
    <phoneticPr fontId="1" type="noConversion"/>
  </si>
  <si>
    <t>영울 레벨업 누적 필요 경험치</t>
    <phoneticPr fontId="1" type="noConversion"/>
  </si>
  <si>
    <t>캐릭터 기본 자연 회복력</t>
  </si>
  <si>
    <t>캐릭터 기본 흡혈량</t>
  </si>
  <si>
    <t>캐릭터 기본 치명타 확률</t>
  </si>
  <si>
    <t>캐릭터 기본 치명타 데미지</t>
  </si>
  <si>
    <t>캐릭터 기본 공격 속도</t>
  </si>
  <si>
    <t>캐릭터 기본 회피율</t>
  </si>
  <si>
    <t>캐릭터 기본 사거리</t>
  </si>
  <si>
    <t>캐릭터 기본 이동속도</t>
  </si>
  <si>
    <t>캐릭터 기본 데미지증가량</t>
  </si>
  <si>
    <t>캐릭터 기본 피해감소량</t>
  </si>
  <si>
    <t>캐릭터 기본 AOE 공격 범위</t>
  </si>
  <si>
    <t>캐릭터 기본 명중률</t>
  </si>
  <si>
    <t>캐릭터 최대 피해감소량</t>
    <phoneticPr fontId="1" type="noConversion"/>
  </si>
  <si>
    <t>캐릭터 최대 치명타 확률</t>
    <phoneticPr fontId="1" type="noConversion"/>
  </si>
  <si>
    <t>몬스터</t>
    <phoneticPr fontId="1" type="noConversion"/>
  </si>
  <si>
    <t>몬스터 스탯 배분 1당 공격력 획득량</t>
    <phoneticPr fontId="1" type="noConversion"/>
  </si>
  <si>
    <t>몬스터 스탯 배분 1당 최대 HP 획득량</t>
    <phoneticPr fontId="1" type="noConversion"/>
  </si>
  <si>
    <t>몬스터 스탯 배분 1당 마법 저항력 획득량</t>
    <phoneticPr fontId="1" type="noConversion"/>
  </si>
  <si>
    <t>몬스터 스탯 배분 1당 물리 방어력 획득량</t>
    <phoneticPr fontId="1" type="noConversion"/>
  </si>
  <si>
    <t>특성</t>
    <phoneticPr fontId="1" type="noConversion"/>
  </si>
  <si>
    <t>특성 주사위 굴릴 때 특성이 붙지 않을 확률 증가치</t>
    <phoneticPr fontId="1" type="noConversion"/>
  </si>
  <si>
    <t>스테이지</t>
    <phoneticPr fontId="1" type="noConversion"/>
  </si>
  <si>
    <t>현재 일반 스테이지가 다음 스테이지의 나올 확률 감소치</t>
    <phoneticPr fontId="1" type="noConversion"/>
  </si>
  <si>
    <t>캐릭터 성장 스테이터스</t>
    <phoneticPr fontId="1" type="noConversion"/>
  </si>
  <si>
    <t>name_id</t>
    <phoneticPr fontId="1" type="noConversion"/>
  </si>
  <si>
    <t>정의로움</t>
  </si>
  <si>
    <t>정의로움</t>
    <phoneticPr fontId="1" type="noConversion"/>
  </si>
  <si>
    <t>자비로움</t>
  </si>
  <si>
    <t>자비로움</t>
    <phoneticPr fontId="1" type="noConversion"/>
  </si>
  <si>
    <t>용기있음</t>
  </si>
  <si>
    <t>용기있음</t>
    <phoneticPr fontId="1" type="noConversion"/>
  </si>
  <si>
    <t>협력적</t>
  </si>
  <si>
    <t>협력적</t>
    <phoneticPr fontId="1" type="noConversion"/>
  </si>
  <si>
    <t>창의적</t>
  </si>
  <si>
    <t>창의적</t>
    <phoneticPr fontId="1" type="noConversion"/>
  </si>
  <si>
    <t>공명함</t>
  </si>
  <si>
    <t>성실함</t>
  </si>
  <si>
    <t>성실함</t>
    <phoneticPr fontId="1" type="noConversion"/>
  </si>
  <si>
    <t>겸손함</t>
  </si>
  <si>
    <t>겸손함</t>
    <phoneticPr fontId="1" type="noConversion"/>
  </si>
  <si>
    <t>낙천적</t>
  </si>
  <si>
    <t>낙천적</t>
    <phoneticPr fontId="1" type="noConversion"/>
  </si>
  <si>
    <t>이해심 높음</t>
  </si>
  <si>
    <t>이해심 높음</t>
    <phoneticPr fontId="1" type="noConversion"/>
  </si>
  <si>
    <t>자유로움</t>
  </si>
  <si>
    <t>자유로움</t>
    <phoneticPr fontId="1" type="noConversion"/>
  </si>
  <si>
    <t>도전적</t>
  </si>
  <si>
    <t>도전적</t>
    <phoneticPr fontId="1" type="noConversion"/>
  </si>
  <si>
    <t>탐구적</t>
  </si>
  <si>
    <t>탐구적</t>
    <phoneticPr fontId="1" type="noConversion"/>
  </si>
  <si>
    <t>믿음직함</t>
  </si>
  <si>
    <t>믿음직함</t>
    <phoneticPr fontId="1" type="noConversion"/>
  </si>
  <si>
    <t>헌신적</t>
  </si>
  <si>
    <t>헌신적</t>
    <phoneticPr fontId="1" type="noConversion"/>
  </si>
  <si>
    <t>열정적</t>
  </si>
  <si>
    <t>열정적</t>
    <phoneticPr fontId="1" type="noConversion"/>
  </si>
  <si>
    <t>책임감 높음</t>
  </si>
  <si>
    <t>책임감 높음</t>
    <phoneticPr fontId="1" type="noConversion"/>
  </si>
  <si>
    <t>진취적</t>
  </si>
  <si>
    <t>진취적</t>
    <phoneticPr fontId="1" type="noConversion"/>
  </si>
  <si>
    <t>보수적</t>
  </si>
  <si>
    <t>보수적</t>
    <phoneticPr fontId="1" type="noConversion"/>
  </si>
  <si>
    <t>사려깊음</t>
  </si>
  <si>
    <t>사려깊음</t>
    <phoneticPr fontId="1" type="noConversion"/>
  </si>
  <si>
    <t>자신감 높음</t>
  </si>
  <si>
    <t>자신감 높음</t>
    <phoneticPr fontId="1" type="noConversion"/>
  </si>
  <si>
    <t>전통주의</t>
  </si>
  <si>
    <t>전통주의</t>
    <phoneticPr fontId="1" type="noConversion"/>
  </si>
  <si>
    <t>기회주의적</t>
  </si>
  <si>
    <t>기회주의적</t>
    <phoneticPr fontId="1" type="noConversion"/>
  </si>
  <si>
    <t>신중함</t>
  </si>
  <si>
    <t>신중함</t>
    <phoneticPr fontId="1" type="noConversion"/>
  </si>
  <si>
    <t>to_value</t>
    <phoneticPr fontId="1" type="noConversion"/>
  </si>
  <si>
    <t>from_value</t>
    <phoneticPr fontId="1" type="noConversion"/>
  </si>
  <si>
    <t>battle_option_type</t>
  </si>
  <si>
    <t>battle_option_type</t>
    <phoneticPr fontId="1" type="noConversion"/>
  </si>
  <si>
    <t>b_value_1</t>
    <phoneticPr fontId="1" type="noConversion"/>
  </si>
  <si>
    <t>b_value_2</t>
  </si>
  <si>
    <t>스탯 값</t>
  </si>
  <si>
    <t>value1</t>
  </si>
  <si>
    <t>value2</t>
  </si>
  <si>
    <t>고정 대미지</t>
  </si>
  <si>
    <t>정수</t>
  </si>
  <si>
    <t>공격 무시 확률</t>
  </si>
  <si>
    <t>백분율</t>
  </si>
  <si>
    <t>AI</t>
  </si>
  <si>
    <t>AI 아이디</t>
  </si>
  <si>
    <t>공격타입</t>
  </si>
  <si>
    <t>물리 대미지 %</t>
  </si>
  <si>
    <t>마법 대미지 %</t>
  </si>
  <si>
    <t>특정 아이템 착용</t>
  </si>
  <si>
    <t>item_id</t>
  </si>
  <si>
    <t>특정 아이템 분류</t>
  </si>
  <si>
    <t>weapon_bit_type</t>
  </si>
  <si>
    <t>무기타입에 따른 공격</t>
  </si>
  <si>
    <t>기본 대미지(정수)</t>
  </si>
  <si>
    <t>atk% 대미지</t>
  </si>
  <si>
    <t>물리 공격</t>
  </si>
  <si>
    <t>마법 공격</t>
  </si>
  <si>
    <t>체력 회복</t>
  </si>
  <si>
    <t>기본 회복량(정수)</t>
  </si>
  <si>
    <t>atk% 회복량</t>
  </si>
  <si>
    <t>체력 흡수</t>
  </si>
  <si>
    <t>최종 대미지 % 회복량</t>
  </si>
  <si>
    <t>최대 체력 비례 대미지</t>
  </si>
  <si>
    <t>내 최대 체력 % 대미지</t>
  </si>
  <si>
    <t>상대 최대 체력 % 대미지</t>
  </si>
  <si>
    <t>00.Skill_table 참조</t>
  </si>
  <si>
    <t>skill id</t>
  </si>
  <si>
    <t>공격력</t>
  </si>
  <si>
    <t>증감치</t>
  </si>
  <si>
    <t>증감율</t>
  </si>
  <si>
    <t>물리 방어력</t>
  </si>
  <si>
    <t>마법 저항력</t>
  </si>
  <si>
    <t>최대 체력</t>
  </si>
  <si>
    <t>자연 회복력</t>
  </si>
  <si>
    <t>흡혈량</t>
  </si>
  <si>
    <t>치명타 확률</t>
  </si>
  <si>
    <t>치명타 데미지</t>
  </si>
  <si>
    <t>공격 속도</t>
  </si>
  <si>
    <t>회피율</t>
  </si>
  <si>
    <t>사거리</t>
  </si>
  <si>
    <t>이동속도</t>
  </si>
  <si>
    <t>데미지증가량</t>
  </si>
  <si>
    <t>피해감소량</t>
  </si>
  <si>
    <t>AOE 공격 범위</t>
  </si>
  <si>
    <t>명중률</t>
  </si>
  <si>
    <t>행운</t>
  </si>
  <si>
    <t>경험치 획득량</t>
  </si>
  <si>
    <t>재화 획득량</t>
  </si>
  <si>
    <t>최소 공격력</t>
  </si>
  <si>
    <t>특성 변경</t>
  </si>
  <si>
    <t>대상 특성 id</t>
  </si>
  <si>
    <t>변경 특성 id</t>
  </si>
  <si>
    <t>상태이상 확률</t>
  </si>
  <si>
    <t>상태이상 인덱스</t>
  </si>
  <si>
    <t>상태이상 저항</t>
  </si>
  <si>
    <t>상태이상 저항률</t>
  </si>
  <si>
    <t>쿨타임 감소</t>
  </si>
  <si>
    <t>피격시 대미지 감소</t>
  </si>
  <si>
    <t>확률</t>
  </si>
  <si>
    <t>데미지 감소율</t>
  </si>
  <si>
    <t>타격횟수 마다</t>
  </si>
  <si>
    <t>타격 수</t>
  </si>
  <si>
    <t>발동 확률</t>
  </si>
  <si>
    <t>내 최대 체력 대비 현재 체력</t>
  </si>
  <si>
    <t>일정 최대 체력 이하%</t>
  </si>
  <si>
    <t>일정 최대 체력 이상%</t>
  </si>
  <si>
    <t>상대 최대 체력 대비 현재 체력</t>
  </si>
  <si>
    <t>상대 상태이상 확인</t>
  </si>
  <si>
    <t>공격 시 상대에게 상태 이상 부여</t>
  </si>
  <si>
    <t>가치관 테이블</t>
    <phoneticPr fontId="1" type="noConversion"/>
  </si>
  <si>
    <t>공평함</t>
    <phoneticPr fontId="1" type="noConversion"/>
  </si>
  <si>
    <t>최대 체력</t>
    <phoneticPr fontId="1" type="noConversion"/>
  </si>
  <si>
    <t>공격력</t>
    <phoneticPr fontId="1" type="noConversion"/>
  </si>
  <si>
    <t>치명타 데미지</t>
    <phoneticPr fontId="1" type="noConversion"/>
  </si>
  <si>
    <t>물리 방어력</t>
    <phoneticPr fontId="1" type="noConversion"/>
  </si>
  <si>
    <t>치명타 확률</t>
    <phoneticPr fontId="1" type="noConversion"/>
  </si>
  <si>
    <t>공격 속도</t>
    <phoneticPr fontId="1" type="noConversion"/>
  </si>
  <si>
    <t>마법 저항력</t>
    <phoneticPr fontId="1" type="noConversion"/>
  </si>
  <si>
    <t>회피율</t>
    <phoneticPr fontId="1" type="noConversion"/>
  </si>
  <si>
    <t>명중률</t>
    <phoneticPr fontId="1" type="noConversion"/>
  </si>
  <si>
    <t>최소 보장 대미지</t>
    <phoneticPr fontId="1" type="noConversion"/>
  </si>
  <si>
    <t>공평함</t>
  </si>
  <si>
    <t>긍정</t>
    <phoneticPr fontId="1" type="noConversion"/>
  </si>
  <si>
    <t>부정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</si>
  <si>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</si>
  <si>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</si>
  <si>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</si>
  <si>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</si>
  <si>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캐릭터 최소 HP</t>
    <phoneticPr fontId="1" type="noConversion"/>
  </si>
  <si>
    <t>캐릭터 최소 공격력</t>
    <phoneticPr fontId="1" type="noConversion"/>
  </si>
  <si>
    <t>캐릭터 최소 물리 방어력</t>
    <phoneticPr fontId="1" type="noConversion"/>
  </si>
  <si>
    <t>캐릭터 최소 마법 저항력</t>
    <phoneticPr fontId="1" type="noConversion"/>
  </si>
  <si>
    <t xml:space="preserve"> chr_value_1</t>
    <phoneticPr fontId="1" type="noConversion"/>
  </si>
  <si>
    <t xml:space="preserve"> chr_value_2</t>
  </si>
  <si>
    <t xml:space="preserve"> chr_value_3</t>
  </si>
  <si>
    <t xml:space="preserve"> chr_value_4</t>
  </si>
  <si>
    <t xml:space="preserve"> chr_value_5</t>
  </si>
  <si>
    <t xml:space="preserve"> chr_value_6</t>
  </si>
  <si>
    <t xml:space="preserve"> chr_value_7</t>
  </si>
  <si>
    <t xml:space="preserve"> chr_value_8</t>
  </si>
  <si>
    <t xml:space="preserve"> chr_value_9</t>
  </si>
  <si>
    <t xml:space="preserve"> chr_value_10</t>
  </si>
  <si>
    <t xml:space="preserve"> chr_value_11</t>
  </si>
  <si>
    <t xml:space="preserve"> chr_value_12</t>
  </si>
  <si>
    <t xml:space="preserve"> chr_value_13</t>
  </si>
  <si>
    <t xml:space="preserve"> chr_value_14</t>
  </si>
  <si>
    <t xml:space="preserve"> chr_value_15</t>
  </si>
  <si>
    <t xml:space="preserve"> chr_value_16</t>
  </si>
  <si>
    <t xml:space="preserve"> chr_value_17</t>
  </si>
  <si>
    <t xml:space="preserve"> chr_value_18</t>
  </si>
  <si>
    <t xml:space="preserve"> chr_value_19</t>
  </si>
  <si>
    <t xml:space="preserve"> chr_value_20</t>
  </si>
  <si>
    <t xml:space="preserve"> chr_value_21</t>
  </si>
  <si>
    <t xml:space="preserve"> chr_value_22</t>
  </si>
  <si>
    <t xml:space="preserve"> chr_value_23</t>
  </si>
  <si>
    <t xml:space="preserve"> chr_value_24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</si>
</sst>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2" fillId="2" borderId="2" xfId="0" applyFont="1" applyFill="1" applyBorder="1">
      <alignment vertical="center"/>
    </xf>
    <xf numFmtId="0" fontId="2" fillId="3" borderId="0" xfId="0" applyFont="1" applyFill="1">
      <alignment vertical="center"/>
    </xf>
    <xf numFmtId="0" fontId="2" fillId="2" borderId="0" xfId="0" applyFont="1" applyFill="1">
      <alignment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1" xfId="0" applyFont="1" applyFill="1" applyBorder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  <xf numFmtId="0" fontId="5" fillId="2" borderId="3" xfId="0" applyFont="1" applyFill="1" applyBorder="1">
      <alignment vertical="center"/>
    </xf>
    <xf numFmtId="0" fontId="5" fillId="2" borderId="0" xfId="0" applyFont="1" applyFill="1">
      <alignment vertical="center"/>
    </xf>
    <xf numFmtId="0" fontId="5" fillId="6" borderId="4" xfId="0" applyFont="1" applyFill="1" applyBorder="1">
      <alignment vertical="center"/>
    </xf>
    <xf numFmtId="0" fontId="5" fillId="6" borderId="5" xfId="0" applyFont="1" applyFill="1" applyBorder="1">
      <alignment vertical="center"/>
    </xf>
    <xf numFmtId="0" fontId="5" fillId="6" borderId="6" xfId="0" applyFont="1" applyFill="1" applyBorder="1">
      <alignment vertical="center"/>
    </xf>
    <xf numFmtId="0" fontId="0" fillId="0" borderId="3" xfId="0" applyBorder="1">
      <alignment vertical="center"/>
    </xf>
    <xf numFmtId="0" fontId="5" fillId="0" borderId="3" xfId="0" applyFont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left" vertical="center"/>
    </xf>
    <xf numFmtId="0" fontId="5" fillId="2" borderId="5" xfId="0" applyFont="1" applyFill="1" applyBorder="1" applyAlignment="1">
      <alignment horizontal="left" vertical="center"/>
    </xf>
    <xf numFmtId="0" fontId="5" fillId="2" borderId="6" xfId="0" applyFont="1" applyFill="1" applyBorder="1" applyAlignment="1">
      <alignment horizontal="left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647700</xdr:colOff>
      <xdr:row>8</xdr:row>
      <xdr:rowOff>104775</xdr:rowOff>
    </xdr:from>
    <xdr:to>
      <xdr:col>9</xdr:col>
      <xdr:colOff>523875</xdr:colOff>
      <xdr:row>40</xdr:row>
      <xdr:rowOff>76200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F33D0D9E-F5A5-C684-FFB4-683A4A78AA34}"/>
            </a:ext>
          </a:extLst>
        </xdr:cNvPr>
        <xdr:cNvSpPr/>
      </xdr:nvSpPr>
      <xdr:spPr>
        <a:xfrm>
          <a:off x="647700" y="1323975"/>
          <a:ext cx="10029825" cy="48482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5400" b="1"/>
            <a:t>폐기</a:t>
          </a:r>
          <a:endParaRPr lang="en-US" altLang="ko-KR" sz="5400" b="1"/>
        </a:p>
        <a:p>
          <a:pPr algn="ctr"/>
          <a:r>
            <a:rPr lang="en-US" altLang="ko-KR" sz="5400" b="1"/>
            <a:t>2024.04.19</a:t>
          </a:r>
          <a:endParaRPr lang="ko-KR" altLang="en-US" sz="5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K36"/>
  <sheetViews>
    <sheetView workbookViewId="0">
      <selection activeCell="D53" sqref="D53"/>
    </sheetView>
  </sheetViews>
  <sheetFormatPr defaultRowHeight="12" x14ac:dyDescent="0.3"/>
  <cols>
    <col min="1" max="1" width="9.125" style="5" bestFit="1" customWidth="1"/>
    <col min="2" max="3" width="6.625" style="6" customWidth="1"/>
    <col min="4" max="4" width="17.25" style="6" customWidth="1"/>
    <col min="5" max="5" width="63.875" style="8" customWidth="1"/>
    <col min="6" max="6" width="3.5" style="3" customWidth="1"/>
    <col min="7" max="16384" width="9" style="4"/>
  </cols>
  <sheetData>
    <row r="1" spans="1:11" x14ac:dyDescent="0.3">
      <c r="A1" s="1" t="s">
        <v>0</v>
      </c>
      <c r="B1" s="2" t="s">
        <v>1</v>
      </c>
      <c r="C1" s="2" t="s">
        <v>2</v>
      </c>
      <c r="D1" s="2" t="s">
        <v>3</v>
      </c>
      <c r="E1" s="7" t="s">
        <v>4</v>
      </c>
      <c r="I1" s="28" t="s">
        <v>2</v>
      </c>
      <c r="J1" s="28"/>
      <c r="K1" s="28"/>
    </row>
    <row r="2" spans="1:11" x14ac:dyDescent="0.3">
      <c r="A2" s="16" t="s">
        <v>18</v>
      </c>
      <c r="B2" s="17">
        <v>1</v>
      </c>
      <c r="C2" s="17">
        <v>1</v>
      </c>
      <c r="D2" s="17">
        <v>4</v>
      </c>
      <c r="E2" s="17" t="s">
        <v>19</v>
      </c>
      <c r="I2" s="6" t="s">
        <v>5</v>
      </c>
      <c r="J2" s="6" t="s">
        <v>6</v>
      </c>
      <c r="K2" s="6" t="s">
        <v>7</v>
      </c>
    </row>
    <row r="3" spans="1:11" x14ac:dyDescent="0.3">
      <c r="A3" s="16" t="s">
        <v>18</v>
      </c>
      <c r="B3" s="17">
        <v>2</v>
      </c>
      <c r="C3" s="17">
        <v>1</v>
      </c>
      <c r="D3" s="17">
        <v>3</v>
      </c>
      <c r="E3" s="17" t="s">
        <v>20</v>
      </c>
      <c r="I3" s="6">
        <v>1</v>
      </c>
      <c r="J3" s="6" t="s">
        <v>8</v>
      </c>
      <c r="K3" s="6" t="s">
        <v>9</v>
      </c>
    </row>
    <row r="4" spans="1:11" x14ac:dyDescent="0.3">
      <c r="A4" s="16" t="s">
        <v>18</v>
      </c>
      <c r="B4" s="17">
        <v>3</v>
      </c>
      <c r="C4" s="17">
        <v>1</v>
      </c>
      <c r="D4" s="17">
        <v>2</v>
      </c>
      <c r="E4" s="17" t="s">
        <v>21</v>
      </c>
      <c r="I4" s="6">
        <v>2</v>
      </c>
      <c r="J4" s="6" t="s">
        <v>10</v>
      </c>
      <c r="K4" s="6" t="s">
        <v>14</v>
      </c>
    </row>
    <row r="5" spans="1:11" x14ac:dyDescent="0.3">
      <c r="A5" s="16" t="s">
        <v>18</v>
      </c>
      <c r="B5" s="17">
        <v>4</v>
      </c>
      <c r="C5" s="17">
        <v>1</v>
      </c>
      <c r="D5" s="17">
        <v>1</v>
      </c>
      <c r="E5" s="17" t="s">
        <v>22</v>
      </c>
      <c r="I5" s="6">
        <v>3</v>
      </c>
      <c r="J5" s="6" t="s">
        <v>11</v>
      </c>
      <c r="K5" s="6" t="s">
        <v>15</v>
      </c>
    </row>
    <row r="6" spans="1:11" x14ac:dyDescent="0.3">
      <c r="A6" s="16" t="s">
        <v>18</v>
      </c>
      <c r="B6" s="17">
        <v>5</v>
      </c>
      <c r="C6" s="17">
        <v>1</v>
      </c>
      <c r="D6" s="17">
        <v>0</v>
      </c>
      <c r="E6" s="17" t="s">
        <v>23</v>
      </c>
      <c r="I6" s="6">
        <v>4</v>
      </c>
      <c r="J6" s="6" t="s">
        <v>12</v>
      </c>
      <c r="K6" s="6" t="s">
        <v>16</v>
      </c>
    </row>
    <row r="7" spans="1:11" x14ac:dyDescent="0.3">
      <c r="A7" s="5" t="s">
        <v>18</v>
      </c>
      <c r="B7" s="6">
        <v>6</v>
      </c>
      <c r="C7" s="6">
        <v>4</v>
      </c>
      <c r="D7" s="6">
        <v>4750</v>
      </c>
      <c r="E7" s="8" t="s">
        <v>24</v>
      </c>
      <c r="I7" s="6">
        <v>5</v>
      </c>
      <c r="J7" s="6" t="s">
        <v>13</v>
      </c>
      <c r="K7" s="6" t="s">
        <v>17</v>
      </c>
    </row>
    <row r="8" spans="1:11" x14ac:dyDescent="0.3">
      <c r="A8" s="5" t="s">
        <v>18</v>
      </c>
      <c r="B8" s="6">
        <v>7</v>
      </c>
      <c r="C8" s="6">
        <v>4</v>
      </c>
      <c r="D8" s="6">
        <v>4750</v>
      </c>
      <c r="E8" s="8" t="s">
        <v>25</v>
      </c>
    </row>
    <row r="9" spans="1:11" x14ac:dyDescent="0.3">
      <c r="A9" s="5" t="s">
        <v>18</v>
      </c>
      <c r="B9" s="6">
        <v>8</v>
      </c>
      <c r="C9" s="6">
        <v>4</v>
      </c>
      <c r="D9" s="6">
        <v>500</v>
      </c>
      <c r="E9" s="8" t="s">
        <v>26</v>
      </c>
    </row>
    <row r="10" spans="1:11" x14ac:dyDescent="0.3">
      <c r="A10" s="16" t="s">
        <v>18</v>
      </c>
      <c r="B10" s="17">
        <v>9</v>
      </c>
      <c r="C10" s="17">
        <v>1</v>
      </c>
      <c r="D10" s="17">
        <v>99</v>
      </c>
      <c r="E10" s="17" t="s">
        <v>27</v>
      </c>
    </row>
    <row r="11" spans="1:11" x14ac:dyDescent="0.3">
      <c r="A11" s="16" t="s">
        <v>18</v>
      </c>
      <c r="B11" s="17">
        <v>10</v>
      </c>
      <c r="C11" s="17">
        <v>1</v>
      </c>
      <c r="D11" s="17">
        <v>0</v>
      </c>
      <c r="E11" s="17" t="s">
        <v>35</v>
      </c>
    </row>
    <row r="12" spans="1:11" x14ac:dyDescent="0.3">
      <c r="A12" s="16" t="s">
        <v>18</v>
      </c>
      <c r="B12" s="17">
        <v>11</v>
      </c>
      <c r="C12" s="17">
        <v>2</v>
      </c>
      <c r="D12" s="17">
        <v>0</v>
      </c>
      <c r="E12" s="17" t="s">
        <v>36</v>
      </c>
    </row>
    <row r="13" spans="1:11" x14ac:dyDescent="0.3">
      <c r="A13" s="16" t="s">
        <v>18</v>
      </c>
      <c r="B13" s="17">
        <v>12</v>
      </c>
      <c r="C13" s="17">
        <v>2</v>
      </c>
      <c r="D13" s="17">
        <v>0</v>
      </c>
      <c r="E13" s="17" t="s">
        <v>37</v>
      </c>
    </row>
    <row r="14" spans="1:11" x14ac:dyDescent="0.3">
      <c r="A14" s="16" t="s">
        <v>18</v>
      </c>
      <c r="B14" s="17">
        <v>13</v>
      </c>
      <c r="C14" s="17">
        <v>2</v>
      </c>
      <c r="D14" s="17">
        <v>150</v>
      </c>
      <c r="E14" s="17" t="s">
        <v>38</v>
      </c>
    </row>
    <row r="15" spans="1:11" x14ac:dyDescent="0.3">
      <c r="A15" s="16" t="s">
        <v>18</v>
      </c>
      <c r="B15" s="17">
        <v>14</v>
      </c>
      <c r="C15" s="17">
        <v>2</v>
      </c>
      <c r="D15" s="17">
        <v>1</v>
      </c>
      <c r="E15" s="17" t="s">
        <v>39</v>
      </c>
    </row>
    <row r="16" spans="1:11" x14ac:dyDescent="0.3">
      <c r="A16" s="16" t="s">
        <v>18</v>
      </c>
      <c r="B16" s="17">
        <v>15</v>
      </c>
      <c r="C16" s="17">
        <v>1</v>
      </c>
      <c r="D16" s="17">
        <v>0</v>
      </c>
      <c r="E16" s="17" t="s">
        <v>40</v>
      </c>
    </row>
    <row r="17" spans="1:5" x14ac:dyDescent="0.3">
      <c r="A17" s="16" t="s">
        <v>18</v>
      </c>
      <c r="B17" s="17">
        <v>16</v>
      </c>
      <c r="C17" s="17">
        <v>2</v>
      </c>
      <c r="D17" s="17">
        <v>100</v>
      </c>
      <c r="E17" s="17" t="s">
        <v>41</v>
      </c>
    </row>
    <row r="18" spans="1:5" x14ac:dyDescent="0.3">
      <c r="A18" s="16" t="s">
        <v>18</v>
      </c>
      <c r="B18" s="17">
        <v>17</v>
      </c>
      <c r="C18" s="17">
        <v>2</v>
      </c>
      <c r="D18" s="17">
        <v>100</v>
      </c>
      <c r="E18" s="17" t="s">
        <v>42</v>
      </c>
    </row>
    <row r="19" spans="1:5" x14ac:dyDescent="0.3">
      <c r="A19" s="16" t="s">
        <v>18</v>
      </c>
      <c r="B19" s="17">
        <v>18</v>
      </c>
      <c r="C19" s="17">
        <v>2</v>
      </c>
      <c r="D19" s="17">
        <v>0</v>
      </c>
      <c r="E19" s="17" t="s">
        <v>43</v>
      </c>
    </row>
    <row r="20" spans="1:5" x14ac:dyDescent="0.3">
      <c r="A20" s="16" t="s">
        <v>18</v>
      </c>
      <c r="B20" s="17">
        <v>19</v>
      </c>
      <c r="C20" s="17">
        <v>2</v>
      </c>
      <c r="D20" s="17">
        <v>0</v>
      </c>
      <c r="E20" s="17" t="s">
        <v>44</v>
      </c>
    </row>
    <row r="21" spans="1:5" x14ac:dyDescent="0.3">
      <c r="A21" s="16" t="s">
        <v>18</v>
      </c>
      <c r="B21" s="17">
        <v>20</v>
      </c>
      <c r="C21" s="17">
        <v>2</v>
      </c>
      <c r="D21" s="17">
        <v>100</v>
      </c>
      <c r="E21" s="17" t="s">
        <v>45</v>
      </c>
    </row>
    <row r="22" spans="1:5" x14ac:dyDescent="0.3">
      <c r="A22" s="16" t="s">
        <v>18</v>
      </c>
      <c r="B22" s="17">
        <v>21</v>
      </c>
      <c r="C22" s="17">
        <v>1</v>
      </c>
      <c r="D22" s="17">
        <v>100</v>
      </c>
      <c r="E22" s="17" t="s">
        <v>46</v>
      </c>
    </row>
    <row r="23" spans="1:5" x14ac:dyDescent="0.3">
      <c r="A23" s="5" t="s">
        <v>18</v>
      </c>
      <c r="B23" s="6">
        <v>22</v>
      </c>
      <c r="C23" s="6">
        <v>2</v>
      </c>
      <c r="D23" s="6">
        <v>100</v>
      </c>
      <c r="E23" s="8" t="s">
        <v>48</v>
      </c>
    </row>
    <row r="24" spans="1:5" x14ac:dyDescent="0.3">
      <c r="A24" s="5" t="s">
        <v>18</v>
      </c>
      <c r="B24" s="6">
        <v>23</v>
      </c>
      <c r="C24" s="6">
        <v>2</v>
      </c>
      <c r="D24" s="6">
        <v>100</v>
      </c>
      <c r="E24" s="8" t="s">
        <v>47</v>
      </c>
    </row>
    <row r="25" spans="1:5" x14ac:dyDescent="0.3">
      <c r="A25" s="16" t="s">
        <v>49</v>
      </c>
      <c r="B25" s="17">
        <v>24</v>
      </c>
      <c r="C25" s="17">
        <v>1</v>
      </c>
      <c r="D25" s="17">
        <v>2</v>
      </c>
      <c r="E25" s="17" t="s">
        <v>51</v>
      </c>
    </row>
    <row r="26" spans="1:5" x14ac:dyDescent="0.3">
      <c r="A26" s="16" t="s">
        <v>49</v>
      </c>
      <c r="B26" s="17">
        <v>25</v>
      </c>
      <c r="C26" s="17">
        <v>1</v>
      </c>
      <c r="D26" s="17">
        <v>1</v>
      </c>
      <c r="E26" s="17" t="s">
        <v>50</v>
      </c>
    </row>
    <row r="27" spans="1:5" x14ac:dyDescent="0.3">
      <c r="A27" s="16" t="s">
        <v>49</v>
      </c>
      <c r="B27" s="17">
        <v>26</v>
      </c>
      <c r="C27" s="17">
        <v>1</v>
      </c>
      <c r="D27" s="17">
        <v>1</v>
      </c>
      <c r="E27" s="17" t="s">
        <v>53</v>
      </c>
    </row>
    <row r="28" spans="1:5" x14ac:dyDescent="0.3">
      <c r="A28" s="16" t="s">
        <v>49</v>
      </c>
      <c r="B28" s="17">
        <v>27</v>
      </c>
      <c r="C28" s="17">
        <v>1</v>
      </c>
      <c r="D28" s="17">
        <v>1</v>
      </c>
      <c r="E28" s="17" t="s">
        <v>52</v>
      </c>
    </row>
    <row r="29" spans="1:5" x14ac:dyDescent="0.3">
      <c r="A29" s="5" t="s">
        <v>54</v>
      </c>
      <c r="B29" s="6">
        <v>28</v>
      </c>
      <c r="C29" s="6">
        <v>4</v>
      </c>
      <c r="D29" s="6">
        <v>500</v>
      </c>
      <c r="E29" s="8" t="s">
        <v>55</v>
      </c>
    </row>
    <row r="30" spans="1:5" x14ac:dyDescent="0.3">
      <c r="A30" s="5" t="s">
        <v>56</v>
      </c>
      <c r="B30" s="6">
        <v>29</v>
      </c>
      <c r="C30" s="6">
        <v>4</v>
      </c>
      <c r="D30" s="6">
        <v>1000</v>
      </c>
      <c r="E30" s="8" t="s">
        <v>57</v>
      </c>
    </row>
    <row r="31" spans="1:5" x14ac:dyDescent="0.3">
      <c r="A31" s="16" t="s">
        <v>18</v>
      </c>
      <c r="B31" s="17">
        <v>30</v>
      </c>
      <c r="C31" s="17">
        <v>1</v>
      </c>
      <c r="D31" s="17">
        <v>4</v>
      </c>
      <c r="E31" s="17" t="s">
        <v>58</v>
      </c>
    </row>
    <row r="32" spans="1:5" x14ac:dyDescent="0.3">
      <c r="A32" s="5" t="s">
        <v>56</v>
      </c>
      <c r="B32" s="6">
        <v>31</v>
      </c>
      <c r="C32" s="6">
        <v>1</v>
      </c>
      <c r="D32" s="6">
        <v>1</v>
      </c>
      <c r="E32" s="8" t="s">
        <v>197</v>
      </c>
    </row>
    <row r="33" spans="1:5" x14ac:dyDescent="0.3">
      <c r="A33" s="5" t="s">
        <v>18</v>
      </c>
      <c r="B33" s="6">
        <v>32</v>
      </c>
      <c r="C33" s="6">
        <v>1</v>
      </c>
      <c r="D33" s="6">
        <v>1</v>
      </c>
      <c r="E33" s="8" t="s">
        <v>205</v>
      </c>
    </row>
    <row r="34" spans="1:5" x14ac:dyDescent="0.3">
      <c r="A34" s="5" t="s">
        <v>18</v>
      </c>
      <c r="B34" s="6">
        <v>33</v>
      </c>
      <c r="C34" s="6">
        <v>1</v>
      </c>
      <c r="D34" s="6">
        <v>1</v>
      </c>
      <c r="E34" s="8" t="s">
        <v>206</v>
      </c>
    </row>
    <row r="35" spans="1:5" x14ac:dyDescent="0.3">
      <c r="A35" s="5" t="s">
        <v>18</v>
      </c>
      <c r="B35" s="6">
        <v>34</v>
      </c>
      <c r="C35" s="6">
        <v>1</v>
      </c>
      <c r="D35" s="6">
        <v>0</v>
      </c>
      <c r="E35" s="8" t="s">
        <v>207</v>
      </c>
    </row>
    <row r="36" spans="1:5" x14ac:dyDescent="0.3">
      <c r="A36" s="5" t="s">
        <v>18</v>
      </c>
      <c r="B36" s="6">
        <v>35</v>
      </c>
      <c r="C36" s="6">
        <v>1</v>
      </c>
      <c r="D36" s="6">
        <v>0</v>
      </c>
      <c r="E36" s="8" t="s">
        <v>208</v>
      </c>
    </row>
  </sheetData>
  <mergeCells count="1">
    <mergeCell ref="I1:K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H100"/>
  <sheetViews>
    <sheetView workbookViewId="0">
      <selection activeCell="I55" sqref="I55"/>
    </sheetView>
  </sheetViews>
  <sheetFormatPr defaultRowHeight="12" x14ac:dyDescent="0.3"/>
  <cols>
    <col min="1" max="1" width="9" style="9"/>
    <col min="2" max="2" width="17.375" style="10" bestFit="1" customWidth="1"/>
    <col min="3" max="3" width="2.625" style="11" customWidth="1"/>
    <col min="4" max="4" width="9" style="12"/>
    <col min="5" max="5" width="22.75" style="12" bestFit="1" customWidth="1"/>
    <col min="6" max="6" width="9" style="12"/>
    <col min="7" max="7" width="24.5" style="12" customWidth="1"/>
    <col min="8" max="8" width="30" style="12" bestFit="1" customWidth="1"/>
    <col min="9" max="16384" width="9" style="12"/>
  </cols>
  <sheetData>
    <row r="1" spans="1:8" x14ac:dyDescent="0.3">
      <c r="A1" s="2" t="s">
        <v>28</v>
      </c>
      <c r="B1" s="13" t="s">
        <v>29</v>
      </c>
      <c r="C1" s="14"/>
      <c r="D1" s="15"/>
      <c r="E1" s="15" t="s">
        <v>34</v>
      </c>
    </row>
    <row r="2" spans="1:8" x14ac:dyDescent="0.3">
      <c r="A2" s="9">
        <v>1</v>
      </c>
      <c r="B2" s="10">
        <v>5</v>
      </c>
      <c r="E2" s="12">
        <f>B2</f>
        <v>5</v>
      </c>
      <c r="G2" s="29" t="s">
        <v>30</v>
      </c>
      <c r="H2" s="29"/>
    </row>
    <row r="3" spans="1:8" x14ac:dyDescent="0.3">
      <c r="A3" s="9">
        <v>2</v>
      </c>
      <c r="B3" s="10">
        <v>5</v>
      </c>
      <c r="E3" s="12">
        <f t="shared" ref="E3:E34" si="0">E2+B3</f>
        <v>10</v>
      </c>
      <c r="G3" s="9" t="s">
        <v>6</v>
      </c>
      <c r="H3" s="9" t="s">
        <v>31</v>
      </c>
    </row>
    <row r="4" spans="1:8" x14ac:dyDescent="0.3">
      <c r="A4" s="9">
        <v>3</v>
      </c>
      <c r="B4" s="10">
        <v>5</v>
      </c>
      <c r="E4" s="12">
        <f t="shared" si="0"/>
        <v>15</v>
      </c>
      <c r="G4" s="2" t="s">
        <v>28</v>
      </c>
      <c r="H4" s="2" t="s">
        <v>32</v>
      </c>
    </row>
    <row r="5" spans="1:8" x14ac:dyDescent="0.3">
      <c r="A5" s="9">
        <v>4</v>
      </c>
      <c r="B5" s="10">
        <v>5</v>
      </c>
      <c r="E5" s="12">
        <f t="shared" si="0"/>
        <v>20</v>
      </c>
      <c r="G5" s="9" t="s">
        <v>29</v>
      </c>
      <c r="H5" s="9" t="s">
        <v>33</v>
      </c>
    </row>
    <row r="6" spans="1:8" x14ac:dyDescent="0.3">
      <c r="A6" s="9">
        <v>5</v>
      </c>
      <c r="B6" s="10">
        <v>5</v>
      </c>
      <c r="E6" s="12">
        <f t="shared" si="0"/>
        <v>25</v>
      </c>
    </row>
    <row r="7" spans="1:8" x14ac:dyDescent="0.3">
      <c r="A7" s="9">
        <v>6</v>
      </c>
      <c r="B7" s="10">
        <v>5</v>
      </c>
      <c r="E7" s="12">
        <f t="shared" si="0"/>
        <v>30</v>
      </c>
    </row>
    <row r="8" spans="1:8" x14ac:dyDescent="0.3">
      <c r="A8" s="9">
        <v>7</v>
      </c>
      <c r="B8" s="10">
        <v>5</v>
      </c>
      <c r="E8" s="12">
        <f t="shared" si="0"/>
        <v>35</v>
      </c>
    </row>
    <row r="9" spans="1:8" x14ac:dyDescent="0.3">
      <c r="A9" s="9">
        <v>8</v>
      </c>
      <c r="B9" s="10">
        <v>5</v>
      </c>
      <c r="E9" s="12">
        <f t="shared" si="0"/>
        <v>40</v>
      </c>
    </row>
    <row r="10" spans="1:8" x14ac:dyDescent="0.3">
      <c r="A10" s="9">
        <v>9</v>
      </c>
      <c r="B10" s="10">
        <v>5</v>
      </c>
      <c r="E10" s="12">
        <f t="shared" si="0"/>
        <v>45</v>
      </c>
    </row>
    <row r="11" spans="1:8" x14ac:dyDescent="0.3">
      <c r="A11" s="9">
        <v>10</v>
      </c>
      <c r="B11" s="10">
        <v>5</v>
      </c>
      <c r="E11" s="12">
        <f t="shared" si="0"/>
        <v>50</v>
      </c>
    </row>
    <row r="12" spans="1:8" x14ac:dyDescent="0.3">
      <c r="A12" s="9">
        <v>11</v>
      </c>
      <c r="B12" s="10">
        <v>5</v>
      </c>
      <c r="E12" s="12">
        <f t="shared" si="0"/>
        <v>55</v>
      </c>
    </row>
    <row r="13" spans="1:8" x14ac:dyDescent="0.3">
      <c r="A13" s="9">
        <v>12</v>
      </c>
      <c r="B13" s="10">
        <v>5</v>
      </c>
      <c r="E13" s="12">
        <f t="shared" si="0"/>
        <v>60</v>
      </c>
    </row>
    <row r="14" spans="1:8" x14ac:dyDescent="0.3">
      <c r="A14" s="9">
        <v>13</v>
      </c>
      <c r="B14" s="10">
        <v>5</v>
      </c>
      <c r="E14" s="12">
        <f t="shared" si="0"/>
        <v>65</v>
      </c>
    </row>
    <row r="15" spans="1:8" x14ac:dyDescent="0.3">
      <c r="A15" s="9">
        <v>14</v>
      </c>
      <c r="B15" s="10">
        <v>5</v>
      </c>
      <c r="E15" s="12">
        <f t="shared" si="0"/>
        <v>70</v>
      </c>
    </row>
    <row r="16" spans="1:8" x14ac:dyDescent="0.3">
      <c r="A16" s="9">
        <v>15</v>
      </c>
      <c r="B16" s="10">
        <v>5</v>
      </c>
      <c r="E16" s="12">
        <f t="shared" si="0"/>
        <v>75</v>
      </c>
    </row>
    <row r="17" spans="1:5" x14ac:dyDescent="0.3">
      <c r="A17" s="9">
        <v>16</v>
      </c>
      <c r="B17" s="10">
        <v>5</v>
      </c>
      <c r="E17" s="12">
        <f t="shared" si="0"/>
        <v>80</v>
      </c>
    </row>
    <row r="18" spans="1:5" x14ac:dyDescent="0.3">
      <c r="A18" s="9">
        <v>17</v>
      </c>
      <c r="B18" s="10">
        <v>5</v>
      </c>
      <c r="E18" s="12">
        <f t="shared" si="0"/>
        <v>85</v>
      </c>
    </row>
    <row r="19" spans="1:5" x14ac:dyDescent="0.3">
      <c r="A19" s="9">
        <v>18</v>
      </c>
      <c r="B19" s="10">
        <v>5</v>
      </c>
      <c r="E19" s="12">
        <f t="shared" si="0"/>
        <v>90</v>
      </c>
    </row>
    <row r="20" spans="1:5" x14ac:dyDescent="0.3">
      <c r="A20" s="9">
        <v>19</v>
      </c>
      <c r="B20" s="10">
        <v>5</v>
      </c>
      <c r="E20" s="12">
        <f t="shared" si="0"/>
        <v>95</v>
      </c>
    </row>
    <row r="21" spans="1:5" x14ac:dyDescent="0.3">
      <c r="A21" s="9">
        <v>20</v>
      </c>
      <c r="B21" s="10">
        <v>5</v>
      </c>
      <c r="E21" s="12">
        <f t="shared" si="0"/>
        <v>100</v>
      </c>
    </row>
    <row r="22" spans="1:5" x14ac:dyDescent="0.3">
      <c r="A22" s="9">
        <v>21</v>
      </c>
      <c r="B22" s="10">
        <v>5</v>
      </c>
      <c r="E22" s="12">
        <f t="shared" si="0"/>
        <v>105</v>
      </c>
    </row>
    <row r="23" spans="1:5" x14ac:dyDescent="0.3">
      <c r="A23" s="9">
        <v>22</v>
      </c>
      <c r="B23" s="10">
        <v>5</v>
      </c>
      <c r="E23" s="12">
        <f t="shared" si="0"/>
        <v>110</v>
      </c>
    </row>
    <row r="24" spans="1:5" x14ac:dyDescent="0.3">
      <c r="A24" s="9">
        <v>23</v>
      </c>
      <c r="B24" s="10">
        <v>5</v>
      </c>
      <c r="E24" s="12">
        <f t="shared" si="0"/>
        <v>115</v>
      </c>
    </row>
    <row r="25" spans="1:5" x14ac:dyDescent="0.3">
      <c r="A25" s="9">
        <v>24</v>
      </c>
      <c r="B25" s="10">
        <v>5</v>
      </c>
      <c r="E25" s="12">
        <f t="shared" si="0"/>
        <v>120</v>
      </c>
    </row>
    <row r="26" spans="1:5" x14ac:dyDescent="0.3">
      <c r="A26" s="9">
        <v>25</v>
      </c>
      <c r="B26" s="10">
        <v>5</v>
      </c>
      <c r="E26" s="12">
        <f t="shared" si="0"/>
        <v>125</v>
      </c>
    </row>
    <row r="27" spans="1:5" x14ac:dyDescent="0.3">
      <c r="A27" s="9">
        <v>26</v>
      </c>
      <c r="B27" s="10">
        <v>5</v>
      </c>
      <c r="E27" s="12">
        <f t="shared" si="0"/>
        <v>130</v>
      </c>
    </row>
    <row r="28" spans="1:5" x14ac:dyDescent="0.3">
      <c r="A28" s="9">
        <v>27</v>
      </c>
      <c r="B28" s="10">
        <v>5</v>
      </c>
      <c r="E28" s="12">
        <f t="shared" si="0"/>
        <v>135</v>
      </c>
    </row>
    <row r="29" spans="1:5" x14ac:dyDescent="0.3">
      <c r="A29" s="9">
        <v>28</v>
      </c>
      <c r="B29" s="10">
        <v>5</v>
      </c>
      <c r="E29" s="12">
        <f t="shared" si="0"/>
        <v>140</v>
      </c>
    </row>
    <row r="30" spans="1:5" x14ac:dyDescent="0.3">
      <c r="A30" s="9">
        <v>29</v>
      </c>
      <c r="B30" s="10">
        <v>5</v>
      </c>
      <c r="E30" s="12">
        <f t="shared" si="0"/>
        <v>145</v>
      </c>
    </row>
    <row r="31" spans="1:5" x14ac:dyDescent="0.3">
      <c r="A31" s="9">
        <v>30</v>
      </c>
      <c r="B31" s="10">
        <v>5</v>
      </c>
      <c r="E31" s="12">
        <f t="shared" si="0"/>
        <v>150</v>
      </c>
    </row>
    <row r="32" spans="1:5" x14ac:dyDescent="0.3">
      <c r="A32" s="9">
        <v>31</v>
      </c>
      <c r="B32" s="10">
        <v>5</v>
      </c>
      <c r="E32" s="12">
        <f t="shared" si="0"/>
        <v>155</v>
      </c>
    </row>
    <row r="33" spans="1:5" x14ac:dyDescent="0.3">
      <c r="A33" s="9">
        <v>32</v>
      </c>
      <c r="B33" s="10">
        <v>5</v>
      </c>
      <c r="E33" s="12">
        <f t="shared" si="0"/>
        <v>160</v>
      </c>
    </row>
    <row r="34" spans="1:5" x14ac:dyDescent="0.3">
      <c r="A34" s="9">
        <v>33</v>
      </c>
      <c r="B34" s="10">
        <v>5</v>
      </c>
      <c r="E34" s="12">
        <f t="shared" si="0"/>
        <v>165</v>
      </c>
    </row>
    <row r="35" spans="1:5" x14ac:dyDescent="0.3">
      <c r="A35" s="9">
        <v>34</v>
      </c>
      <c r="B35" s="10">
        <v>5</v>
      </c>
      <c r="E35" s="12">
        <f t="shared" ref="E35:E66" si="1">E34+B35</f>
        <v>170</v>
      </c>
    </row>
    <row r="36" spans="1:5" x14ac:dyDescent="0.3">
      <c r="A36" s="9">
        <v>35</v>
      </c>
      <c r="B36" s="10">
        <v>5</v>
      </c>
      <c r="E36" s="12">
        <f t="shared" si="1"/>
        <v>175</v>
      </c>
    </row>
    <row r="37" spans="1:5" x14ac:dyDescent="0.3">
      <c r="A37" s="9">
        <v>36</v>
      </c>
      <c r="B37" s="10">
        <v>5</v>
      </c>
      <c r="E37" s="12">
        <f t="shared" si="1"/>
        <v>180</v>
      </c>
    </row>
    <row r="38" spans="1:5" x14ac:dyDescent="0.3">
      <c r="A38" s="9">
        <v>37</v>
      </c>
      <c r="B38" s="10">
        <v>5</v>
      </c>
      <c r="E38" s="12">
        <f t="shared" si="1"/>
        <v>185</v>
      </c>
    </row>
    <row r="39" spans="1:5" x14ac:dyDescent="0.3">
      <c r="A39" s="9">
        <v>38</v>
      </c>
      <c r="B39" s="10">
        <v>5</v>
      </c>
      <c r="E39" s="12">
        <f t="shared" si="1"/>
        <v>190</v>
      </c>
    </row>
    <row r="40" spans="1:5" x14ac:dyDescent="0.3">
      <c r="A40" s="9">
        <v>39</v>
      </c>
      <c r="B40" s="10">
        <v>5</v>
      </c>
      <c r="E40" s="12">
        <f t="shared" si="1"/>
        <v>195</v>
      </c>
    </row>
    <row r="41" spans="1:5" x14ac:dyDescent="0.3">
      <c r="A41" s="9">
        <v>40</v>
      </c>
      <c r="B41" s="10">
        <v>5</v>
      </c>
      <c r="E41" s="12">
        <f t="shared" si="1"/>
        <v>200</v>
      </c>
    </row>
    <row r="42" spans="1:5" x14ac:dyDescent="0.3">
      <c r="A42" s="9">
        <v>41</v>
      </c>
      <c r="B42" s="10">
        <v>5</v>
      </c>
      <c r="E42" s="12">
        <f t="shared" si="1"/>
        <v>205</v>
      </c>
    </row>
    <row r="43" spans="1:5" x14ac:dyDescent="0.3">
      <c r="A43" s="9">
        <v>42</v>
      </c>
      <c r="B43" s="10">
        <v>5</v>
      </c>
      <c r="E43" s="12">
        <f t="shared" si="1"/>
        <v>210</v>
      </c>
    </row>
    <row r="44" spans="1:5" x14ac:dyDescent="0.3">
      <c r="A44" s="9">
        <v>43</v>
      </c>
      <c r="B44" s="10">
        <v>5</v>
      </c>
      <c r="E44" s="12">
        <f t="shared" si="1"/>
        <v>215</v>
      </c>
    </row>
    <row r="45" spans="1:5" x14ac:dyDescent="0.3">
      <c r="A45" s="9">
        <v>44</v>
      </c>
      <c r="B45" s="10">
        <v>5</v>
      </c>
      <c r="E45" s="12">
        <f t="shared" si="1"/>
        <v>220</v>
      </c>
    </row>
    <row r="46" spans="1:5" x14ac:dyDescent="0.3">
      <c r="A46" s="9">
        <v>45</v>
      </c>
      <c r="B46" s="10">
        <v>5</v>
      </c>
      <c r="E46" s="12">
        <f t="shared" si="1"/>
        <v>225</v>
      </c>
    </row>
    <row r="47" spans="1:5" x14ac:dyDescent="0.3">
      <c r="A47" s="9">
        <v>46</v>
      </c>
      <c r="B47" s="10">
        <v>5</v>
      </c>
      <c r="E47" s="12">
        <f t="shared" si="1"/>
        <v>230</v>
      </c>
    </row>
    <row r="48" spans="1:5" x14ac:dyDescent="0.3">
      <c r="A48" s="9">
        <v>47</v>
      </c>
      <c r="B48" s="10">
        <v>5</v>
      </c>
      <c r="E48" s="12">
        <f t="shared" si="1"/>
        <v>235</v>
      </c>
    </row>
    <row r="49" spans="1:5" x14ac:dyDescent="0.3">
      <c r="A49" s="9">
        <v>48</v>
      </c>
      <c r="B49" s="10">
        <v>5</v>
      </c>
      <c r="E49" s="12">
        <f t="shared" si="1"/>
        <v>240</v>
      </c>
    </row>
    <row r="50" spans="1:5" x14ac:dyDescent="0.3">
      <c r="A50" s="9">
        <v>49</v>
      </c>
      <c r="B50" s="10">
        <v>5</v>
      </c>
      <c r="E50" s="12">
        <f t="shared" si="1"/>
        <v>245</v>
      </c>
    </row>
    <row r="51" spans="1:5" x14ac:dyDescent="0.3">
      <c r="A51" s="9">
        <v>50</v>
      </c>
      <c r="B51" s="10">
        <v>5</v>
      </c>
      <c r="E51" s="12">
        <f t="shared" si="1"/>
        <v>250</v>
      </c>
    </row>
    <row r="52" spans="1:5" x14ac:dyDescent="0.3">
      <c r="A52" s="9">
        <v>51</v>
      </c>
      <c r="B52" s="10">
        <v>5</v>
      </c>
      <c r="E52" s="12">
        <f t="shared" si="1"/>
        <v>255</v>
      </c>
    </row>
    <row r="53" spans="1:5" x14ac:dyDescent="0.3">
      <c r="A53" s="9">
        <v>52</v>
      </c>
      <c r="B53" s="10">
        <v>5</v>
      </c>
      <c r="E53" s="12">
        <f t="shared" si="1"/>
        <v>260</v>
      </c>
    </row>
    <row r="54" spans="1:5" x14ac:dyDescent="0.3">
      <c r="A54" s="9">
        <v>53</v>
      </c>
      <c r="B54" s="10">
        <v>5</v>
      </c>
      <c r="E54" s="12">
        <f t="shared" si="1"/>
        <v>265</v>
      </c>
    </row>
    <row r="55" spans="1:5" x14ac:dyDescent="0.3">
      <c r="A55" s="9">
        <v>54</v>
      </c>
      <c r="B55" s="10">
        <v>5</v>
      </c>
      <c r="E55" s="12">
        <f t="shared" si="1"/>
        <v>270</v>
      </c>
    </row>
    <row r="56" spans="1:5" x14ac:dyDescent="0.3">
      <c r="A56" s="9">
        <v>55</v>
      </c>
      <c r="B56" s="10">
        <v>5</v>
      </c>
      <c r="E56" s="12">
        <f t="shared" si="1"/>
        <v>275</v>
      </c>
    </row>
    <row r="57" spans="1:5" x14ac:dyDescent="0.3">
      <c r="A57" s="9">
        <v>56</v>
      </c>
      <c r="B57" s="10">
        <v>5</v>
      </c>
      <c r="E57" s="12">
        <f t="shared" si="1"/>
        <v>280</v>
      </c>
    </row>
    <row r="58" spans="1:5" x14ac:dyDescent="0.3">
      <c r="A58" s="9">
        <v>57</v>
      </c>
      <c r="B58" s="10">
        <v>5</v>
      </c>
      <c r="E58" s="12">
        <f t="shared" si="1"/>
        <v>285</v>
      </c>
    </row>
    <row r="59" spans="1:5" x14ac:dyDescent="0.3">
      <c r="A59" s="9">
        <v>58</v>
      </c>
      <c r="B59" s="10">
        <v>5</v>
      </c>
      <c r="E59" s="12">
        <f t="shared" si="1"/>
        <v>290</v>
      </c>
    </row>
    <row r="60" spans="1:5" x14ac:dyDescent="0.3">
      <c r="A60" s="9">
        <v>59</v>
      </c>
      <c r="B60" s="10">
        <v>5</v>
      </c>
      <c r="E60" s="12">
        <f t="shared" si="1"/>
        <v>295</v>
      </c>
    </row>
    <row r="61" spans="1:5" x14ac:dyDescent="0.3">
      <c r="A61" s="9">
        <v>60</v>
      </c>
      <c r="B61" s="10">
        <v>5</v>
      </c>
      <c r="E61" s="12">
        <f t="shared" si="1"/>
        <v>300</v>
      </c>
    </row>
    <row r="62" spans="1:5" x14ac:dyDescent="0.3">
      <c r="A62" s="9">
        <v>61</v>
      </c>
      <c r="B62" s="10">
        <v>5</v>
      </c>
      <c r="E62" s="12">
        <f t="shared" si="1"/>
        <v>305</v>
      </c>
    </row>
    <row r="63" spans="1:5" x14ac:dyDescent="0.3">
      <c r="A63" s="9">
        <v>62</v>
      </c>
      <c r="B63" s="10">
        <v>5</v>
      </c>
      <c r="E63" s="12">
        <f t="shared" si="1"/>
        <v>310</v>
      </c>
    </row>
    <row r="64" spans="1:5" x14ac:dyDescent="0.3">
      <c r="A64" s="9">
        <v>63</v>
      </c>
      <c r="B64" s="10">
        <v>5</v>
      </c>
      <c r="E64" s="12">
        <f t="shared" si="1"/>
        <v>315</v>
      </c>
    </row>
    <row r="65" spans="1:5" x14ac:dyDescent="0.3">
      <c r="A65" s="9">
        <v>64</v>
      </c>
      <c r="B65" s="10">
        <v>5</v>
      </c>
      <c r="E65" s="12">
        <f t="shared" si="1"/>
        <v>320</v>
      </c>
    </row>
    <row r="66" spans="1:5" x14ac:dyDescent="0.3">
      <c r="A66" s="9">
        <v>65</v>
      </c>
      <c r="B66" s="10">
        <v>5</v>
      </c>
      <c r="E66" s="12">
        <f t="shared" si="1"/>
        <v>325</v>
      </c>
    </row>
    <row r="67" spans="1:5" x14ac:dyDescent="0.3">
      <c r="A67" s="9">
        <v>66</v>
      </c>
      <c r="B67" s="10">
        <v>5</v>
      </c>
      <c r="E67" s="12">
        <f t="shared" ref="E67:E100" si="2">E66+B67</f>
        <v>330</v>
      </c>
    </row>
    <row r="68" spans="1:5" x14ac:dyDescent="0.3">
      <c r="A68" s="9">
        <v>67</v>
      </c>
      <c r="B68" s="10">
        <v>5</v>
      </c>
      <c r="E68" s="12">
        <f t="shared" si="2"/>
        <v>335</v>
      </c>
    </row>
    <row r="69" spans="1:5" x14ac:dyDescent="0.3">
      <c r="A69" s="9">
        <v>68</v>
      </c>
      <c r="B69" s="10">
        <v>5</v>
      </c>
      <c r="E69" s="12">
        <f t="shared" si="2"/>
        <v>340</v>
      </c>
    </row>
    <row r="70" spans="1:5" x14ac:dyDescent="0.3">
      <c r="A70" s="9">
        <v>69</v>
      </c>
      <c r="B70" s="10">
        <v>5</v>
      </c>
      <c r="E70" s="12">
        <f t="shared" si="2"/>
        <v>345</v>
      </c>
    </row>
    <row r="71" spans="1:5" x14ac:dyDescent="0.3">
      <c r="A71" s="9">
        <v>70</v>
      </c>
      <c r="B71" s="10">
        <v>5</v>
      </c>
      <c r="E71" s="12">
        <f t="shared" si="2"/>
        <v>350</v>
      </c>
    </row>
    <row r="72" spans="1:5" x14ac:dyDescent="0.3">
      <c r="A72" s="9">
        <v>71</v>
      </c>
      <c r="B72" s="10">
        <v>5</v>
      </c>
      <c r="E72" s="12">
        <f t="shared" si="2"/>
        <v>355</v>
      </c>
    </row>
    <row r="73" spans="1:5" x14ac:dyDescent="0.3">
      <c r="A73" s="9">
        <v>72</v>
      </c>
      <c r="B73" s="10">
        <v>5</v>
      </c>
      <c r="E73" s="12">
        <f t="shared" si="2"/>
        <v>360</v>
      </c>
    </row>
    <row r="74" spans="1:5" x14ac:dyDescent="0.3">
      <c r="A74" s="9">
        <v>73</v>
      </c>
      <c r="B74" s="10">
        <v>5</v>
      </c>
      <c r="E74" s="12">
        <f t="shared" si="2"/>
        <v>365</v>
      </c>
    </row>
    <row r="75" spans="1:5" x14ac:dyDescent="0.3">
      <c r="A75" s="9">
        <v>74</v>
      </c>
      <c r="B75" s="10">
        <v>5</v>
      </c>
      <c r="E75" s="12">
        <f t="shared" si="2"/>
        <v>370</v>
      </c>
    </row>
    <row r="76" spans="1:5" x14ac:dyDescent="0.3">
      <c r="A76" s="9">
        <v>75</v>
      </c>
      <c r="B76" s="10">
        <v>5</v>
      </c>
      <c r="E76" s="12">
        <f t="shared" si="2"/>
        <v>375</v>
      </c>
    </row>
    <row r="77" spans="1:5" x14ac:dyDescent="0.3">
      <c r="A77" s="9">
        <v>76</v>
      </c>
      <c r="B77" s="10">
        <v>5</v>
      </c>
      <c r="E77" s="12">
        <f t="shared" si="2"/>
        <v>380</v>
      </c>
    </row>
    <row r="78" spans="1:5" x14ac:dyDescent="0.3">
      <c r="A78" s="9">
        <v>77</v>
      </c>
      <c r="B78" s="10">
        <v>5</v>
      </c>
      <c r="E78" s="12">
        <f t="shared" si="2"/>
        <v>385</v>
      </c>
    </row>
    <row r="79" spans="1:5" x14ac:dyDescent="0.3">
      <c r="A79" s="9">
        <v>78</v>
      </c>
      <c r="B79" s="10">
        <v>5</v>
      </c>
      <c r="E79" s="12">
        <f t="shared" si="2"/>
        <v>390</v>
      </c>
    </row>
    <row r="80" spans="1:5" x14ac:dyDescent="0.3">
      <c r="A80" s="9">
        <v>79</v>
      </c>
      <c r="B80" s="10">
        <v>5</v>
      </c>
      <c r="E80" s="12">
        <f t="shared" si="2"/>
        <v>395</v>
      </c>
    </row>
    <row r="81" spans="1:5" x14ac:dyDescent="0.3">
      <c r="A81" s="9">
        <v>80</v>
      </c>
      <c r="B81" s="10">
        <v>5</v>
      </c>
      <c r="E81" s="12">
        <f t="shared" si="2"/>
        <v>400</v>
      </c>
    </row>
    <row r="82" spans="1:5" x14ac:dyDescent="0.3">
      <c r="A82" s="9">
        <v>81</v>
      </c>
      <c r="B82" s="10">
        <v>5</v>
      </c>
      <c r="E82" s="12">
        <f t="shared" si="2"/>
        <v>405</v>
      </c>
    </row>
    <row r="83" spans="1:5" x14ac:dyDescent="0.3">
      <c r="A83" s="9">
        <v>82</v>
      </c>
      <c r="B83" s="10">
        <v>5</v>
      </c>
      <c r="E83" s="12">
        <f t="shared" si="2"/>
        <v>410</v>
      </c>
    </row>
    <row r="84" spans="1:5" x14ac:dyDescent="0.3">
      <c r="A84" s="9">
        <v>83</v>
      </c>
      <c r="B84" s="10">
        <v>5</v>
      </c>
      <c r="E84" s="12">
        <f t="shared" si="2"/>
        <v>415</v>
      </c>
    </row>
    <row r="85" spans="1:5" x14ac:dyDescent="0.3">
      <c r="A85" s="9">
        <v>84</v>
      </c>
      <c r="B85" s="10">
        <v>5</v>
      </c>
      <c r="E85" s="12">
        <f t="shared" si="2"/>
        <v>420</v>
      </c>
    </row>
    <row r="86" spans="1:5" x14ac:dyDescent="0.3">
      <c r="A86" s="9">
        <v>85</v>
      </c>
      <c r="B86" s="10">
        <v>5</v>
      </c>
      <c r="E86" s="12">
        <f t="shared" si="2"/>
        <v>425</v>
      </c>
    </row>
    <row r="87" spans="1:5" x14ac:dyDescent="0.3">
      <c r="A87" s="9">
        <v>86</v>
      </c>
      <c r="B87" s="10">
        <v>5</v>
      </c>
      <c r="E87" s="12">
        <f t="shared" si="2"/>
        <v>430</v>
      </c>
    </row>
    <row r="88" spans="1:5" x14ac:dyDescent="0.3">
      <c r="A88" s="9">
        <v>87</v>
      </c>
      <c r="B88" s="10">
        <v>5</v>
      </c>
      <c r="E88" s="12">
        <f t="shared" si="2"/>
        <v>435</v>
      </c>
    </row>
    <row r="89" spans="1:5" x14ac:dyDescent="0.3">
      <c r="A89" s="9">
        <v>88</v>
      </c>
      <c r="B89" s="10">
        <v>5</v>
      </c>
      <c r="E89" s="12">
        <f t="shared" si="2"/>
        <v>440</v>
      </c>
    </row>
    <row r="90" spans="1:5" x14ac:dyDescent="0.3">
      <c r="A90" s="9">
        <v>89</v>
      </c>
      <c r="B90" s="10">
        <v>5</v>
      </c>
      <c r="E90" s="12">
        <f t="shared" si="2"/>
        <v>445</v>
      </c>
    </row>
    <row r="91" spans="1:5" x14ac:dyDescent="0.3">
      <c r="A91" s="9">
        <v>90</v>
      </c>
      <c r="B91" s="10">
        <v>5</v>
      </c>
      <c r="E91" s="12">
        <f t="shared" si="2"/>
        <v>450</v>
      </c>
    </row>
    <row r="92" spans="1:5" x14ac:dyDescent="0.3">
      <c r="A92" s="9">
        <v>91</v>
      </c>
      <c r="B92" s="10">
        <v>5</v>
      </c>
      <c r="E92" s="12">
        <f t="shared" si="2"/>
        <v>455</v>
      </c>
    </row>
    <row r="93" spans="1:5" x14ac:dyDescent="0.3">
      <c r="A93" s="9">
        <v>92</v>
      </c>
      <c r="B93" s="10">
        <v>5</v>
      </c>
      <c r="E93" s="12">
        <f t="shared" si="2"/>
        <v>460</v>
      </c>
    </row>
    <row r="94" spans="1:5" x14ac:dyDescent="0.3">
      <c r="A94" s="9">
        <v>93</v>
      </c>
      <c r="B94" s="10">
        <v>5</v>
      </c>
      <c r="E94" s="12">
        <f t="shared" si="2"/>
        <v>465</v>
      </c>
    </row>
    <row r="95" spans="1:5" x14ac:dyDescent="0.3">
      <c r="A95" s="9">
        <v>94</v>
      </c>
      <c r="B95" s="10">
        <v>5</v>
      </c>
      <c r="E95" s="12">
        <f t="shared" si="2"/>
        <v>470</v>
      </c>
    </row>
    <row r="96" spans="1:5" x14ac:dyDescent="0.3">
      <c r="A96" s="9">
        <v>95</v>
      </c>
      <c r="B96" s="10">
        <v>5</v>
      </c>
      <c r="E96" s="12">
        <f t="shared" si="2"/>
        <v>475</v>
      </c>
    </row>
    <row r="97" spans="1:5" x14ac:dyDescent="0.3">
      <c r="A97" s="9">
        <v>96</v>
      </c>
      <c r="B97" s="10">
        <v>5</v>
      </c>
      <c r="E97" s="12">
        <f t="shared" si="2"/>
        <v>480</v>
      </c>
    </row>
    <row r="98" spans="1:5" x14ac:dyDescent="0.3">
      <c r="A98" s="9">
        <v>97</v>
      </c>
      <c r="B98" s="10">
        <v>5</v>
      </c>
      <c r="E98" s="12">
        <f t="shared" si="2"/>
        <v>485</v>
      </c>
    </row>
    <row r="99" spans="1:5" x14ac:dyDescent="0.3">
      <c r="A99" s="9">
        <v>98</v>
      </c>
      <c r="B99" s="10">
        <v>5</v>
      </c>
      <c r="E99" s="12">
        <f t="shared" si="2"/>
        <v>490</v>
      </c>
    </row>
    <row r="100" spans="1:5" x14ac:dyDescent="0.3">
      <c r="A100" s="9">
        <v>99</v>
      </c>
      <c r="B100" s="10">
        <v>0</v>
      </c>
      <c r="E100" s="12">
        <f t="shared" si="2"/>
        <v>490</v>
      </c>
    </row>
  </sheetData>
  <mergeCells count="1">
    <mergeCell ref="G2:H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F32B2-31A8-48E2-B8DD-5AA85E215577}">
  <sheetPr codeName="Sheet4"/>
  <dimension ref="A1:C25"/>
  <sheetViews>
    <sheetView tabSelected="1" workbookViewId="0">
      <selection activeCell="N22" activeCellId="1" sqref="E8 N22"/>
    </sheetView>
  </sheetViews>
  <sheetFormatPr defaultRowHeight="16.5" x14ac:dyDescent="0.3"/>
  <cols>
    <col min="2" max="2" width="13" bestFit="1" customWidth="1"/>
    <col min="3" max="3" width="11.625" bestFit="1" customWidth="1"/>
  </cols>
  <sheetData>
    <row r="1" spans="1:3" x14ac:dyDescent="0.3">
      <c r="A1" t="s">
        <v>1</v>
      </c>
      <c r="B1" t="s">
        <v>59</v>
      </c>
      <c r="C1" t="s">
        <v>6</v>
      </c>
    </row>
    <row r="2" spans="1:3" x14ac:dyDescent="0.3">
      <c r="A2">
        <v>1</v>
      </c>
      <c r="B2" t="s">
        <v>209</v>
      </c>
      <c r="C2" t="s">
        <v>61</v>
      </c>
    </row>
    <row r="3" spans="1:3" x14ac:dyDescent="0.3">
      <c r="A3">
        <v>2</v>
      </c>
      <c r="B3" t="s">
        <v>210</v>
      </c>
      <c r="C3" t="s">
        <v>63</v>
      </c>
    </row>
    <row r="4" spans="1:3" x14ac:dyDescent="0.3">
      <c r="A4">
        <v>3</v>
      </c>
      <c r="B4" t="s">
        <v>211</v>
      </c>
      <c r="C4" t="s">
        <v>65</v>
      </c>
    </row>
    <row r="5" spans="1:3" x14ac:dyDescent="0.3">
      <c r="A5">
        <v>4</v>
      </c>
      <c r="B5" t="s">
        <v>212</v>
      </c>
      <c r="C5" t="s">
        <v>67</v>
      </c>
    </row>
    <row r="6" spans="1:3" x14ac:dyDescent="0.3">
      <c r="A6">
        <v>5</v>
      </c>
      <c r="B6" t="s">
        <v>213</v>
      </c>
      <c r="C6" t="s">
        <v>69</v>
      </c>
    </row>
    <row r="7" spans="1:3" x14ac:dyDescent="0.3">
      <c r="A7">
        <v>6</v>
      </c>
      <c r="B7" t="s">
        <v>214</v>
      </c>
      <c r="C7" t="s">
        <v>187</v>
      </c>
    </row>
    <row r="8" spans="1:3" x14ac:dyDescent="0.3">
      <c r="A8">
        <v>7</v>
      </c>
      <c r="B8" t="s">
        <v>215</v>
      </c>
      <c r="C8" t="s">
        <v>72</v>
      </c>
    </row>
    <row r="9" spans="1:3" x14ac:dyDescent="0.3">
      <c r="A9">
        <v>8</v>
      </c>
      <c r="B9" t="s">
        <v>216</v>
      </c>
      <c r="C9" t="s">
        <v>74</v>
      </c>
    </row>
    <row r="10" spans="1:3" x14ac:dyDescent="0.3">
      <c r="A10">
        <v>9</v>
      </c>
      <c r="B10" t="s">
        <v>217</v>
      </c>
      <c r="C10" t="s">
        <v>76</v>
      </c>
    </row>
    <row r="11" spans="1:3" x14ac:dyDescent="0.3">
      <c r="A11">
        <v>10</v>
      </c>
      <c r="B11" t="s">
        <v>218</v>
      </c>
      <c r="C11" t="s">
        <v>78</v>
      </c>
    </row>
    <row r="12" spans="1:3" x14ac:dyDescent="0.3">
      <c r="A12">
        <v>11</v>
      </c>
      <c r="B12" t="s">
        <v>219</v>
      </c>
      <c r="C12" t="s">
        <v>80</v>
      </c>
    </row>
    <row r="13" spans="1:3" x14ac:dyDescent="0.3">
      <c r="A13">
        <v>12</v>
      </c>
      <c r="B13" t="s">
        <v>220</v>
      </c>
      <c r="C13" t="s">
        <v>82</v>
      </c>
    </row>
    <row r="14" spans="1:3" x14ac:dyDescent="0.3">
      <c r="A14">
        <v>13</v>
      </c>
      <c r="B14" t="s">
        <v>221</v>
      </c>
      <c r="C14" t="s">
        <v>84</v>
      </c>
    </row>
    <row r="15" spans="1:3" x14ac:dyDescent="0.3">
      <c r="A15">
        <v>14</v>
      </c>
      <c r="B15" t="s">
        <v>222</v>
      </c>
      <c r="C15" t="s">
        <v>86</v>
      </c>
    </row>
    <row r="16" spans="1:3" x14ac:dyDescent="0.3">
      <c r="A16">
        <v>15</v>
      </c>
      <c r="B16" t="s">
        <v>223</v>
      </c>
      <c r="C16" t="s">
        <v>88</v>
      </c>
    </row>
    <row r="17" spans="1:3" x14ac:dyDescent="0.3">
      <c r="A17">
        <v>16</v>
      </c>
      <c r="B17" t="s">
        <v>224</v>
      </c>
      <c r="C17" t="s">
        <v>90</v>
      </c>
    </row>
    <row r="18" spans="1:3" x14ac:dyDescent="0.3">
      <c r="A18">
        <v>17</v>
      </c>
      <c r="B18" t="s">
        <v>225</v>
      </c>
      <c r="C18" t="s">
        <v>92</v>
      </c>
    </row>
    <row r="19" spans="1:3" x14ac:dyDescent="0.3">
      <c r="A19">
        <v>18</v>
      </c>
      <c r="B19" t="s">
        <v>226</v>
      </c>
      <c r="C19" t="s">
        <v>94</v>
      </c>
    </row>
    <row r="20" spans="1:3" x14ac:dyDescent="0.3">
      <c r="A20">
        <v>19</v>
      </c>
      <c r="B20" t="s">
        <v>227</v>
      </c>
      <c r="C20" t="s">
        <v>96</v>
      </c>
    </row>
    <row r="21" spans="1:3" x14ac:dyDescent="0.3">
      <c r="A21">
        <v>20</v>
      </c>
      <c r="B21" t="s">
        <v>228</v>
      </c>
      <c r="C21" t="s">
        <v>98</v>
      </c>
    </row>
    <row r="22" spans="1:3" x14ac:dyDescent="0.3">
      <c r="A22">
        <v>21</v>
      </c>
      <c r="B22" t="s">
        <v>229</v>
      </c>
      <c r="C22" t="s">
        <v>100</v>
      </c>
    </row>
    <row r="23" spans="1:3" x14ac:dyDescent="0.3">
      <c r="A23">
        <v>22</v>
      </c>
      <c r="B23" t="s">
        <v>230</v>
      </c>
      <c r="C23" t="s">
        <v>102</v>
      </c>
    </row>
    <row r="24" spans="1:3" x14ac:dyDescent="0.3">
      <c r="A24">
        <v>23</v>
      </c>
      <c r="B24" t="s">
        <v>231</v>
      </c>
      <c r="C24" t="s">
        <v>104</v>
      </c>
    </row>
    <row r="25" spans="1:3" x14ac:dyDescent="0.3">
      <c r="A25">
        <v>24</v>
      </c>
      <c r="B25" t="s">
        <v>232</v>
      </c>
      <c r="C25" t="s">
        <v>106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4792A-7937-4CD0-8D8B-D97D9CD16475}">
  <sheetPr codeName="Sheet3"/>
  <dimension ref="A1:AK97"/>
  <sheetViews>
    <sheetView zoomScale="70" zoomScaleNormal="70" workbookViewId="0">
      <selection activeCell="K50" sqref="K50"/>
    </sheetView>
  </sheetViews>
  <sheetFormatPr defaultRowHeight="16.5" x14ac:dyDescent="0.3"/>
  <cols>
    <col min="1" max="1" width="9" style="19"/>
    <col min="2" max="2" width="11.625" style="19" bestFit="1" customWidth="1"/>
    <col min="3" max="3" width="10.875" style="19" bestFit="1" customWidth="1"/>
    <col min="4" max="4" width="17.875" style="19" bestFit="1" customWidth="1"/>
    <col min="5" max="6" width="9" style="19"/>
    <col min="7" max="10" width="9" style="18"/>
    <col min="11" max="11" width="19.875" style="18" bestFit="1" customWidth="1"/>
    <col min="12" max="12" width="31.125" style="18" bestFit="1" customWidth="1"/>
    <col min="13" max="13" width="21.75" style="18" bestFit="1" customWidth="1"/>
    <col min="14" max="14" width="23.875" style="18" bestFit="1" customWidth="1"/>
    <col min="15" max="19" width="9" style="18"/>
    <col min="20" max="20" width="9" style="19"/>
    <col min="21" max="21" width="11.625" style="19" bestFit="1" customWidth="1"/>
    <col min="22" max="22" width="10.875" style="19" bestFit="1" customWidth="1"/>
    <col min="23" max="23" width="17.875" style="19" bestFit="1" customWidth="1"/>
    <col min="24" max="25" width="9" style="19"/>
    <col min="26" max="32" width="9" style="18"/>
    <col min="33" max="33" width="17.875" style="18" bestFit="1" customWidth="1"/>
    <col min="34" max="16384" width="9" style="18"/>
  </cols>
  <sheetData>
    <row r="1" spans="1:37" x14ac:dyDescent="0.3">
      <c r="A1" s="19" t="s">
        <v>1</v>
      </c>
      <c r="B1" s="19" t="s">
        <v>107</v>
      </c>
      <c r="C1" s="19" t="s">
        <v>108</v>
      </c>
      <c r="D1" s="19" t="s">
        <v>110</v>
      </c>
      <c r="E1" s="19" t="s">
        <v>111</v>
      </c>
      <c r="F1" s="19" t="s">
        <v>112</v>
      </c>
      <c r="T1" s="19" t="s">
        <v>1</v>
      </c>
      <c r="U1" s="19" t="s">
        <v>107</v>
      </c>
      <c r="V1" s="19" t="s">
        <v>108</v>
      </c>
      <c r="W1" s="19" t="s">
        <v>110</v>
      </c>
      <c r="X1" s="19" t="s">
        <v>111</v>
      </c>
      <c r="Y1" s="19" t="s">
        <v>112</v>
      </c>
      <c r="AC1" s="18" t="s">
        <v>199</v>
      </c>
      <c r="AD1" s="18" t="s">
        <v>200</v>
      </c>
      <c r="AG1" s="19" t="s">
        <v>110</v>
      </c>
      <c r="AH1" s="18" t="s">
        <v>199</v>
      </c>
      <c r="AI1" s="18" t="s">
        <v>200</v>
      </c>
    </row>
    <row r="2" spans="1:37" x14ac:dyDescent="0.3">
      <c r="A2" s="19">
        <v>1</v>
      </c>
      <c r="B2" s="19">
        <v>1</v>
      </c>
      <c r="C2" s="19">
        <f>INDEX($P$25:$P$48,MATCH(V2,$Q$25:$Q$48,0))</f>
        <v>6</v>
      </c>
      <c r="D2" s="19">
        <f>INDEX($K$24:$K$68,MATCH(W2,$L$24:$L$68,0))</f>
        <v>104</v>
      </c>
      <c r="E2" s="19">
        <f>X2</f>
        <v>30</v>
      </c>
      <c r="F2" s="19">
        <f>Y2</f>
        <v>0</v>
      </c>
      <c r="T2" s="19">
        <v>1</v>
      </c>
      <c r="U2" s="19" t="s">
        <v>60</v>
      </c>
      <c r="V2" s="19" t="s">
        <v>187</v>
      </c>
      <c r="W2" s="19" t="s">
        <v>188</v>
      </c>
      <c r="X2" s="19">
        <v>30</v>
      </c>
      <c r="AB2" s="18" t="s">
        <v>60</v>
      </c>
      <c r="AC2" s="18">
        <f>COUNTIF($V$2:$V$49,AB2)</f>
        <v>2</v>
      </c>
      <c r="AD2" s="18">
        <f>COUNTIF($V$50:$V$97,AB2)</f>
        <v>2</v>
      </c>
      <c r="AG2" s="19" t="s">
        <v>188</v>
      </c>
      <c r="AH2" s="18">
        <f>COUNTIF($W$2:$W$49,AG2)</f>
        <v>6</v>
      </c>
      <c r="AI2" s="18">
        <f>COUNTIF($W$50:$W$97,AG2)</f>
        <v>6</v>
      </c>
      <c r="AJ2" s="18">
        <v>6</v>
      </c>
    </row>
    <row r="3" spans="1:37" x14ac:dyDescent="0.3">
      <c r="A3" s="19">
        <v>2</v>
      </c>
      <c r="B3" s="19">
        <v>1</v>
      </c>
      <c r="C3" s="19">
        <f t="shared" ref="C3:C66" si="0">INDEX($P$25:$P$48,MATCH(V3,$Q$25:$Q$48,0))</f>
        <v>20</v>
      </c>
      <c r="D3" s="19">
        <f t="shared" ref="D3:D66" si="1">INDEX($K$24:$K$68,MATCH(W3,$L$24:$L$68,0))</f>
        <v>101</v>
      </c>
      <c r="E3" s="19">
        <f t="shared" ref="E3:E66" si="2">X3</f>
        <v>20</v>
      </c>
      <c r="F3" s="19">
        <f t="shared" ref="F3:F66" si="3">Y3</f>
        <v>0</v>
      </c>
      <c r="T3" s="19">
        <v>2</v>
      </c>
      <c r="U3" s="19" t="s">
        <v>60</v>
      </c>
      <c r="V3" s="19" t="s">
        <v>98</v>
      </c>
      <c r="W3" s="19" t="s">
        <v>189</v>
      </c>
      <c r="X3" s="19">
        <v>20</v>
      </c>
      <c r="AB3" s="18" t="s">
        <v>62</v>
      </c>
      <c r="AC3" s="18">
        <f t="shared" ref="AC3:AC24" si="4">COUNTIF($V$2:$V$49,AB3)</f>
        <v>2</v>
      </c>
      <c r="AD3" s="18">
        <f t="shared" ref="AD3:AD24" si="5">COUNTIF($V$50:$V$97,AB3)</f>
        <v>2</v>
      </c>
      <c r="AG3" s="19" t="s">
        <v>189</v>
      </c>
      <c r="AH3" s="18">
        <f t="shared" ref="AH3:AH10" si="6">COUNTIF($W$2:$W$49,AG3)</f>
        <v>6</v>
      </c>
      <c r="AI3" s="18">
        <f t="shared" ref="AI3:AI10" si="7">COUNTIF($W$50:$W$97,AG3)</f>
        <v>6</v>
      </c>
      <c r="AJ3" s="18">
        <v>6</v>
      </c>
      <c r="AK3" s="18" t="s">
        <v>201</v>
      </c>
    </row>
    <row r="4" spans="1:37" x14ac:dyDescent="0.3">
      <c r="A4" s="19">
        <v>3</v>
      </c>
      <c r="B4" s="19">
        <v>2</v>
      </c>
      <c r="C4" s="19">
        <f t="shared" si="0"/>
        <v>8</v>
      </c>
      <c r="D4" s="19">
        <f t="shared" si="1"/>
        <v>103</v>
      </c>
      <c r="E4" s="19">
        <f t="shared" si="2"/>
        <v>20</v>
      </c>
      <c r="F4" s="19">
        <f t="shared" si="3"/>
        <v>0</v>
      </c>
      <c r="T4" s="19">
        <v>3</v>
      </c>
      <c r="U4" s="19" t="s">
        <v>62</v>
      </c>
      <c r="V4" s="26" t="s">
        <v>74</v>
      </c>
      <c r="W4" s="19" t="s">
        <v>194</v>
      </c>
      <c r="X4" s="19">
        <v>20</v>
      </c>
      <c r="AB4" s="18" t="s">
        <v>64</v>
      </c>
      <c r="AC4" s="18">
        <f t="shared" si="4"/>
        <v>2</v>
      </c>
      <c r="AD4" s="18">
        <f t="shared" si="5"/>
        <v>2</v>
      </c>
      <c r="AG4" s="19" t="s">
        <v>194</v>
      </c>
      <c r="AH4" s="18">
        <f t="shared" si="6"/>
        <v>5</v>
      </c>
      <c r="AI4" s="18">
        <f t="shared" si="7"/>
        <v>5</v>
      </c>
      <c r="AJ4" s="18">
        <v>5</v>
      </c>
      <c r="AK4" s="18" t="s">
        <v>202</v>
      </c>
    </row>
    <row r="5" spans="1:37" x14ac:dyDescent="0.3">
      <c r="A5" s="19">
        <v>4</v>
      </c>
      <c r="B5" s="19">
        <v>2</v>
      </c>
      <c r="C5" s="19">
        <f t="shared" si="0"/>
        <v>4</v>
      </c>
      <c r="D5" s="19">
        <f t="shared" si="1"/>
        <v>102</v>
      </c>
      <c r="E5" s="19">
        <f t="shared" si="2"/>
        <v>20</v>
      </c>
      <c r="F5" s="19">
        <f t="shared" si="3"/>
        <v>0</v>
      </c>
      <c r="T5" s="19">
        <v>4</v>
      </c>
      <c r="U5" s="19" t="s">
        <v>62</v>
      </c>
      <c r="V5" s="19" t="s">
        <v>67</v>
      </c>
      <c r="W5" s="19" t="s">
        <v>191</v>
      </c>
      <c r="X5" s="19">
        <v>20</v>
      </c>
      <c r="AB5" s="18" t="s">
        <v>68</v>
      </c>
      <c r="AC5" s="18">
        <f t="shared" si="4"/>
        <v>2</v>
      </c>
      <c r="AD5" s="18">
        <f t="shared" si="5"/>
        <v>2</v>
      </c>
      <c r="AG5" s="19" t="s">
        <v>191</v>
      </c>
      <c r="AH5" s="18">
        <f t="shared" si="6"/>
        <v>5</v>
      </c>
      <c r="AI5" s="18">
        <f t="shared" si="7"/>
        <v>5</v>
      </c>
      <c r="AJ5" s="18">
        <v>5</v>
      </c>
      <c r="AK5" s="18" t="s">
        <v>202</v>
      </c>
    </row>
    <row r="6" spans="1:37" x14ac:dyDescent="0.3">
      <c r="A6" s="19">
        <v>5</v>
      </c>
      <c r="B6" s="19">
        <v>3</v>
      </c>
      <c r="C6" s="19">
        <f t="shared" si="0"/>
        <v>18</v>
      </c>
      <c r="D6" s="19">
        <f t="shared" si="1"/>
        <v>101</v>
      </c>
      <c r="E6" s="19">
        <f t="shared" si="2"/>
        <v>20</v>
      </c>
      <c r="F6" s="19">
        <f t="shared" si="3"/>
        <v>0</v>
      </c>
      <c r="T6" s="19">
        <v>5</v>
      </c>
      <c r="U6" s="19" t="s">
        <v>64</v>
      </c>
      <c r="V6" s="19" t="s">
        <v>94</v>
      </c>
      <c r="W6" s="19" t="s">
        <v>189</v>
      </c>
      <c r="X6" s="19">
        <v>20</v>
      </c>
      <c r="AB6" s="18" t="s">
        <v>198</v>
      </c>
      <c r="AC6" s="18">
        <f t="shared" si="4"/>
        <v>2</v>
      </c>
      <c r="AD6" s="18">
        <f t="shared" si="5"/>
        <v>2</v>
      </c>
      <c r="AG6" s="19" t="s">
        <v>193</v>
      </c>
      <c r="AH6" s="18">
        <f t="shared" si="6"/>
        <v>6</v>
      </c>
      <c r="AI6" s="18">
        <f t="shared" si="7"/>
        <v>6</v>
      </c>
      <c r="AJ6" s="18">
        <v>6</v>
      </c>
      <c r="AK6" s="18" t="s">
        <v>201</v>
      </c>
    </row>
    <row r="7" spans="1:37" x14ac:dyDescent="0.3">
      <c r="A7" s="19">
        <v>6</v>
      </c>
      <c r="B7" s="19">
        <v>3</v>
      </c>
      <c r="C7" s="19">
        <f t="shared" si="0"/>
        <v>5</v>
      </c>
      <c r="D7" s="19">
        <f t="shared" si="1"/>
        <v>107</v>
      </c>
      <c r="E7" s="19">
        <f t="shared" si="2"/>
        <v>0</v>
      </c>
      <c r="F7" s="19">
        <f t="shared" si="3"/>
        <v>30</v>
      </c>
      <c r="T7" s="19">
        <v>6</v>
      </c>
      <c r="U7" s="19" t="s">
        <v>64</v>
      </c>
      <c r="V7" s="19" t="s">
        <v>69</v>
      </c>
      <c r="W7" s="19" t="s">
        <v>192</v>
      </c>
      <c r="Y7" s="19">
        <v>30</v>
      </c>
      <c r="AB7" s="18" t="s">
        <v>71</v>
      </c>
      <c r="AC7" s="18">
        <f t="shared" si="4"/>
        <v>2</v>
      </c>
      <c r="AD7" s="18">
        <f t="shared" si="5"/>
        <v>2</v>
      </c>
      <c r="AG7" s="19" t="s">
        <v>192</v>
      </c>
      <c r="AH7" s="18">
        <f t="shared" si="6"/>
        <v>5</v>
      </c>
      <c r="AI7" s="18">
        <f t="shared" si="7"/>
        <v>5</v>
      </c>
      <c r="AJ7" s="18">
        <v>5</v>
      </c>
      <c r="AK7" s="18" t="s">
        <v>204</v>
      </c>
    </row>
    <row r="8" spans="1:37" x14ac:dyDescent="0.3">
      <c r="A8" s="19">
        <v>7</v>
      </c>
      <c r="B8" s="19">
        <v>4</v>
      </c>
      <c r="C8" s="19">
        <f t="shared" si="0"/>
        <v>12</v>
      </c>
      <c r="D8" s="19">
        <f t="shared" si="1"/>
        <v>110</v>
      </c>
      <c r="E8" s="19">
        <f t="shared" si="2"/>
        <v>0</v>
      </c>
      <c r="F8" s="19">
        <f t="shared" si="3"/>
        <v>30</v>
      </c>
      <c r="T8" s="19">
        <v>7</v>
      </c>
      <c r="U8" s="19" t="s">
        <v>66</v>
      </c>
      <c r="V8" s="19" t="s">
        <v>82</v>
      </c>
      <c r="W8" s="19" t="s">
        <v>195</v>
      </c>
      <c r="Y8" s="19">
        <v>30</v>
      </c>
      <c r="AB8" s="18" t="s">
        <v>73</v>
      </c>
      <c r="AC8" s="18">
        <f t="shared" si="4"/>
        <v>2</v>
      </c>
      <c r="AD8" s="18">
        <f t="shared" si="5"/>
        <v>2</v>
      </c>
      <c r="AG8" s="19" t="s">
        <v>195</v>
      </c>
      <c r="AH8" s="18">
        <f t="shared" si="6"/>
        <v>5</v>
      </c>
      <c r="AI8" s="18">
        <f t="shared" si="7"/>
        <v>5</v>
      </c>
      <c r="AJ8" s="18">
        <v>5</v>
      </c>
      <c r="AK8" s="18" t="s">
        <v>203</v>
      </c>
    </row>
    <row r="9" spans="1:37" x14ac:dyDescent="0.3">
      <c r="A9" s="19">
        <v>8</v>
      </c>
      <c r="B9" s="19">
        <v>4</v>
      </c>
      <c r="C9" s="19">
        <f t="shared" si="0"/>
        <v>7</v>
      </c>
      <c r="D9" s="19">
        <f t="shared" si="1"/>
        <v>108</v>
      </c>
      <c r="E9" s="19">
        <f t="shared" si="2"/>
        <v>0</v>
      </c>
      <c r="F9" s="19">
        <f t="shared" si="3"/>
        <v>20</v>
      </c>
      <c r="T9" s="19">
        <v>8</v>
      </c>
      <c r="U9" s="19" t="s">
        <v>66</v>
      </c>
      <c r="V9" s="19" t="s">
        <v>72</v>
      </c>
      <c r="W9" s="19" t="s">
        <v>190</v>
      </c>
      <c r="Y9" s="19">
        <v>20</v>
      </c>
      <c r="AB9" s="18" t="s">
        <v>75</v>
      </c>
      <c r="AC9" s="18">
        <f t="shared" si="4"/>
        <v>2</v>
      </c>
      <c r="AD9" s="18">
        <f t="shared" si="5"/>
        <v>2</v>
      </c>
      <c r="AG9" s="19" t="s">
        <v>190</v>
      </c>
      <c r="AH9" s="18">
        <f t="shared" si="6"/>
        <v>5</v>
      </c>
      <c r="AI9" s="18">
        <f t="shared" si="7"/>
        <v>5</v>
      </c>
      <c r="AJ9" s="18">
        <v>5</v>
      </c>
      <c r="AK9" s="18" t="s">
        <v>204</v>
      </c>
    </row>
    <row r="10" spans="1:37" x14ac:dyDescent="0.3">
      <c r="A10" s="19">
        <v>9</v>
      </c>
      <c r="B10" s="19">
        <v>5</v>
      </c>
      <c r="C10" s="19">
        <f t="shared" si="0"/>
        <v>9</v>
      </c>
      <c r="D10" s="19">
        <f t="shared" si="1"/>
        <v>116</v>
      </c>
      <c r="E10" s="19">
        <f t="shared" si="2"/>
        <v>0</v>
      </c>
      <c r="F10" s="19">
        <f t="shared" si="3"/>
        <v>30</v>
      </c>
      <c r="T10" s="19">
        <v>9</v>
      </c>
      <c r="U10" s="19" t="s">
        <v>68</v>
      </c>
      <c r="V10" s="19" t="s">
        <v>76</v>
      </c>
      <c r="W10" s="19" t="s">
        <v>196</v>
      </c>
      <c r="Y10" s="19">
        <v>30</v>
      </c>
      <c r="AB10" s="18" t="s">
        <v>78</v>
      </c>
      <c r="AC10" s="18">
        <f t="shared" si="4"/>
        <v>2</v>
      </c>
      <c r="AD10" s="18">
        <f t="shared" si="5"/>
        <v>2</v>
      </c>
      <c r="AG10" s="19" t="s">
        <v>196</v>
      </c>
      <c r="AH10" s="18">
        <f t="shared" si="6"/>
        <v>5</v>
      </c>
      <c r="AI10" s="18">
        <f t="shared" si="7"/>
        <v>5</v>
      </c>
      <c r="AJ10" s="18">
        <v>5</v>
      </c>
      <c r="AK10" s="18" t="s">
        <v>203</v>
      </c>
    </row>
    <row r="11" spans="1:37" x14ac:dyDescent="0.3">
      <c r="A11" s="19">
        <v>10</v>
      </c>
      <c r="B11" s="19">
        <v>5</v>
      </c>
      <c r="C11" s="19">
        <f t="shared" si="0"/>
        <v>16</v>
      </c>
      <c r="D11" s="19">
        <f t="shared" si="1"/>
        <v>104</v>
      </c>
      <c r="E11" s="19">
        <f t="shared" si="2"/>
        <v>30</v>
      </c>
      <c r="F11" s="19">
        <f t="shared" si="3"/>
        <v>0</v>
      </c>
      <c r="T11" s="19">
        <v>10</v>
      </c>
      <c r="U11" s="19" t="s">
        <v>68</v>
      </c>
      <c r="V11" s="19" t="s">
        <v>90</v>
      </c>
      <c r="W11" s="19" t="s">
        <v>188</v>
      </c>
      <c r="X11" s="19">
        <v>30</v>
      </c>
      <c r="AB11" s="18" t="s">
        <v>79</v>
      </c>
      <c r="AC11" s="18">
        <f t="shared" si="4"/>
        <v>2</v>
      </c>
      <c r="AD11" s="18">
        <f t="shared" si="5"/>
        <v>2</v>
      </c>
      <c r="AH11" s="18">
        <f>SUM(AH2:AH10)</f>
        <v>48</v>
      </c>
      <c r="AI11" s="18">
        <f>SUM(AI2:AI10)</f>
        <v>48</v>
      </c>
      <c r="AJ11" s="18">
        <f>SUM(AJ2:AJ10)</f>
        <v>48</v>
      </c>
    </row>
    <row r="12" spans="1:37" x14ac:dyDescent="0.3">
      <c r="A12" s="19">
        <v>11</v>
      </c>
      <c r="B12" s="19">
        <v>6</v>
      </c>
      <c r="C12" s="19">
        <f t="shared" si="0"/>
        <v>22</v>
      </c>
      <c r="D12" s="19">
        <f t="shared" si="1"/>
        <v>102</v>
      </c>
      <c r="E12" s="19">
        <f t="shared" si="2"/>
        <v>20</v>
      </c>
      <c r="F12" s="19">
        <f t="shared" si="3"/>
        <v>0</v>
      </c>
      <c r="T12" s="19">
        <v>11</v>
      </c>
      <c r="U12" s="19" t="s">
        <v>187</v>
      </c>
      <c r="V12" s="19" t="s">
        <v>102</v>
      </c>
      <c r="W12" s="19" t="s">
        <v>191</v>
      </c>
      <c r="X12" s="19">
        <v>20</v>
      </c>
      <c r="AB12" s="18" t="s">
        <v>81</v>
      </c>
      <c r="AC12" s="18">
        <f t="shared" si="4"/>
        <v>2</v>
      </c>
      <c r="AD12" s="18">
        <f t="shared" si="5"/>
        <v>2</v>
      </c>
    </row>
    <row r="13" spans="1:37" x14ac:dyDescent="0.3">
      <c r="A13" s="19">
        <v>12</v>
      </c>
      <c r="B13" s="19">
        <v>6</v>
      </c>
      <c r="C13" s="19">
        <f t="shared" si="0"/>
        <v>10</v>
      </c>
      <c r="D13" s="19">
        <f t="shared" si="1"/>
        <v>101</v>
      </c>
      <c r="E13" s="19">
        <f t="shared" si="2"/>
        <v>20</v>
      </c>
      <c r="F13" s="19">
        <f t="shared" si="3"/>
        <v>0</v>
      </c>
      <c r="T13" s="19">
        <v>12</v>
      </c>
      <c r="U13" s="19" t="s">
        <v>187</v>
      </c>
      <c r="V13" s="19" t="s">
        <v>78</v>
      </c>
      <c r="W13" s="19" t="s">
        <v>189</v>
      </c>
      <c r="X13" s="19">
        <v>20</v>
      </c>
      <c r="AB13" s="18" t="s">
        <v>83</v>
      </c>
      <c r="AC13" s="18">
        <f t="shared" si="4"/>
        <v>2</v>
      </c>
      <c r="AD13" s="18">
        <f t="shared" si="5"/>
        <v>2</v>
      </c>
    </row>
    <row r="14" spans="1:37" x14ac:dyDescent="0.3">
      <c r="A14" s="19">
        <v>13</v>
      </c>
      <c r="B14" s="19">
        <v>7</v>
      </c>
      <c r="C14" s="19">
        <f t="shared" si="0"/>
        <v>19</v>
      </c>
      <c r="D14" s="19">
        <f t="shared" si="1"/>
        <v>109</v>
      </c>
      <c r="E14" s="19">
        <f t="shared" si="2"/>
        <v>0</v>
      </c>
      <c r="F14" s="19">
        <f t="shared" si="3"/>
        <v>30</v>
      </c>
      <c r="T14" s="19">
        <v>13</v>
      </c>
      <c r="U14" s="19" t="s">
        <v>71</v>
      </c>
      <c r="V14" s="19" t="s">
        <v>96</v>
      </c>
      <c r="W14" s="19" t="s">
        <v>193</v>
      </c>
      <c r="Y14" s="19">
        <v>30</v>
      </c>
      <c r="AB14" s="18" t="s">
        <v>85</v>
      </c>
      <c r="AC14" s="18">
        <f t="shared" si="4"/>
        <v>2</v>
      </c>
      <c r="AD14" s="18">
        <f t="shared" si="5"/>
        <v>2</v>
      </c>
    </row>
    <row r="15" spans="1:37" x14ac:dyDescent="0.3">
      <c r="A15" s="19">
        <v>14</v>
      </c>
      <c r="B15" s="19">
        <v>7</v>
      </c>
      <c r="C15" s="19">
        <f t="shared" si="0"/>
        <v>2</v>
      </c>
      <c r="D15" s="19">
        <f t="shared" si="1"/>
        <v>102</v>
      </c>
      <c r="E15" s="19">
        <f t="shared" si="2"/>
        <v>20</v>
      </c>
      <c r="F15" s="19">
        <f t="shared" si="3"/>
        <v>0</v>
      </c>
      <c r="T15" s="19">
        <v>14</v>
      </c>
      <c r="U15" s="19" t="s">
        <v>71</v>
      </c>
      <c r="V15" s="19" t="s">
        <v>63</v>
      </c>
      <c r="W15" s="19" t="s">
        <v>191</v>
      </c>
      <c r="X15" s="19">
        <v>20</v>
      </c>
      <c r="AB15" s="18" t="s">
        <v>87</v>
      </c>
      <c r="AC15" s="18">
        <f t="shared" si="4"/>
        <v>2</v>
      </c>
      <c r="AD15" s="18">
        <f t="shared" si="5"/>
        <v>2</v>
      </c>
    </row>
    <row r="16" spans="1:37" x14ac:dyDescent="0.3">
      <c r="A16" s="19">
        <v>15</v>
      </c>
      <c r="B16" s="19">
        <v>8</v>
      </c>
      <c r="C16" s="19">
        <f t="shared" si="0"/>
        <v>21</v>
      </c>
      <c r="D16" s="19">
        <f t="shared" si="1"/>
        <v>108</v>
      </c>
      <c r="E16" s="19">
        <f t="shared" si="2"/>
        <v>0</v>
      </c>
      <c r="F16" s="19">
        <f t="shared" si="3"/>
        <v>20</v>
      </c>
      <c r="T16" s="19">
        <v>15</v>
      </c>
      <c r="U16" s="19" t="s">
        <v>73</v>
      </c>
      <c r="V16" s="19" t="s">
        <v>100</v>
      </c>
      <c r="W16" s="19" t="s">
        <v>190</v>
      </c>
      <c r="Y16" s="19">
        <v>20</v>
      </c>
      <c r="AB16" s="18" t="s">
        <v>89</v>
      </c>
      <c r="AC16" s="18">
        <f t="shared" si="4"/>
        <v>2</v>
      </c>
      <c r="AD16" s="18">
        <f t="shared" si="5"/>
        <v>2</v>
      </c>
    </row>
    <row r="17" spans="1:30" x14ac:dyDescent="0.3">
      <c r="A17" s="19">
        <v>16</v>
      </c>
      <c r="B17" s="19">
        <v>8</v>
      </c>
      <c r="C17" s="19">
        <f t="shared" si="0"/>
        <v>14</v>
      </c>
      <c r="D17" s="19">
        <f t="shared" si="1"/>
        <v>109</v>
      </c>
      <c r="E17" s="19">
        <f t="shared" si="2"/>
        <v>0</v>
      </c>
      <c r="F17" s="19">
        <f t="shared" si="3"/>
        <v>20</v>
      </c>
      <c r="T17" s="19">
        <v>16</v>
      </c>
      <c r="U17" s="19" t="s">
        <v>73</v>
      </c>
      <c r="V17" s="19" t="s">
        <v>86</v>
      </c>
      <c r="W17" s="19" t="s">
        <v>193</v>
      </c>
      <c r="Y17" s="19">
        <v>20</v>
      </c>
      <c r="AB17" s="18" t="s">
        <v>92</v>
      </c>
      <c r="AC17" s="18">
        <f t="shared" si="4"/>
        <v>2</v>
      </c>
      <c r="AD17" s="18">
        <f t="shared" si="5"/>
        <v>2</v>
      </c>
    </row>
    <row r="18" spans="1:30" x14ac:dyDescent="0.3">
      <c r="A18" s="19">
        <v>17</v>
      </c>
      <c r="B18" s="19">
        <v>9</v>
      </c>
      <c r="C18" s="19">
        <f t="shared" si="0"/>
        <v>10</v>
      </c>
      <c r="D18" s="19">
        <f t="shared" si="1"/>
        <v>110</v>
      </c>
      <c r="E18" s="19">
        <f t="shared" si="2"/>
        <v>0</v>
      </c>
      <c r="F18" s="19">
        <f t="shared" si="3"/>
        <v>30</v>
      </c>
      <c r="T18" s="19">
        <v>17</v>
      </c>
      <c r="U18" s="19" t="s">
        <v>75</v>
      </c>
      <c r="V18" s="19" t="s">
        <v>78</v>
      </c>
      <c r="W18" s="19" t="s">
        <v>195</v>
      </c>
      <c r="Y18" s="19">
        <v>30</v>
      </c>
      <c r="AB18" s="18" t="s">
        <v>93</v>
      </c>
      <c r="AC18" s="18">
        <f t="shared" si="4"/>
        <v>2</v>
      </c>
      <c r="AD18" s="18">
        <f t="shared" si="5"/>
        <v>2</v>
      </c>
    </row>
    <row r="19" spans="1:30" x14ac:dyDescent="0.3">
      <c r="A19" s="19">
        <v>18</v>
      </c>
      <c r="B19" s="19">
        <v>9</v>
      </c>
      <c r="C19" s="19">
        <f t="shared" si="0"/>
        <v>24</v>
      </c>
      <c r="D19" s="19">
        <f t="shared" si="1"/>
        <v>116</v>
      </c>
      <c r="E19" s="19">
        <f t="shared" si="2"/>
        <v>0</v>
      </c>
      <c r="F19" s="19">
        <f t="shared" si="3"/>
        <v>30</v>
      </c>
      <c r="T19" s="19">
        <v>18</v>
      </c>
      <c r="U19" s="19" t="s">
        <v>75</v>
      </c>
      <c r="V19" s="19" t="s">
        <v>106</v>
      </c>
      <c r="W19" s="19" t="s">
        <v>196</v>
      </c>
      <c r="Y19" s="19">
        <v>30</v>
      </c>
      <c r="AB19" s="18" t="s">
        <v>95</v>
      </c>
      <c r="AC19" s="18">
        <f t="shared" si="4"/>
        <v>2</v>
      </c>
      <c r="AD19" s="18">
        <f t="shared" si="5"/>
        <v>2</v>
      </c>
    </row>
    <row r="20" spans="1:30" x14ac:dyDescent="0.3">
      <c r="A20" s="19">
        <v>19</v>
      </c>
      <c r="B20" s="19">
        <v>10</v>
      </c>
      <c r="C20" s="19">
        <f t="shared" si="0"/>
        <v>23</v>
      </c>
      <c r="D20" s="19">
        <f t="shared" si="1"/>
        <v>102</v>
      </c>
      <c r="E20" s="19">
        <f t="shared" si="2"/>
        <v>20</v>
      </c>
      <c r="F20" s="19">
        <f t="shared" si="3"/>
        <v>0</v>
      </c>
      <c r="T20" s="19">
        <v>19</v>
      </c>
      <c r="U20" s="19" t="s">
        <v>77</v>
      </c>
      <c r="V20" s="19" t="s">
        <v>104</v>
      </c>
      <c r="W20" s="19" t="s">
        <v>191</v>
      </c>
      <c r="X20" s="19">
        <v>20</v>
      </c>
      <c r="AB20" s="18" t="s">
        <v>97</v>
      </c>
      <c r="AC20" s="18">
        <f t="shared" si="4"/>
        <v>2</v>
      </c>
      <c r="AD20" s="18">
        <f t="shared" si="5"/>
        <v>2</v>
      </c>
    </row>
    <row r="21" spans="1:30" x14ac:dyDescent="0.3">
      <c r="A21" s="19">
        <v>20</v>
      </c>
      <c r="B21" s="19">
        <v>10</v>
      </c>
      <c r="C21" s="19">
        <f t="shared" si="0"/>
        <v>6</v>
      </c>
      <c r="D21" s="19">
        <f t="shared" si="1"/>
        <v>104</v>
      </c>
      <c r="E21" s="19">
        <f t="shared" si="2"/>
        <v>30</v>
      </c>
      <c r="F21" s="19">
        <f t="shared" si="3"/>
        <v>0</v>
      </c>
      <c r="T21" s="19">
        <v>20</v>
      </c>
      <c r="U21" s="19" t="s">
        <v>77</v>
      </c>
      <c r="V21" s="19" t="s">
        <v>187</v>
      </c>
      <c r="W21" s="19" t="s">
        <v>188</v>
      </c>
      <c r="X21" s="19">
        <v>30</v>
      </c>
      <c r="AB21" s="18" t="s">
        <v>100</v>
      </c>
      <c r="AC21" s="18">
        <f t="shared" si="4"/>
        <v>2</v>
      </c>
      <c r="AD21" s="18">
        <f t="shared" si="5"/>
        <v>2</v>
      </c>
    </row>
    <row r="22" spans="1:30" x14ac:dyDescent="0.3">
      <c r="A22" s="19">
        <v>21</v>
      </c>
      <c r="B22" s="19">
        <v>11</v>
      </c>
      <c r="C22" s="19">
        <f t="shared" si="0"/>
        <v>21</v>
      </c>
      <c r="D22" s="19">
        <f t="shared" si="1"/>
        <v>107</v>
      </c>
      <c r="E22" s="19">
        <f t="shared" si="2"/>
        <v>0</v>
      </c>
      <c r="F22" s="19">
        <f t="shared" si="3"/>
        <v>30</v>
      </c>
      <c r="T22" s="19">
        <v>21</v>
      </c>
      <c r="U22" s="19" t="s">
        <v>79</v>
      </c>
      <c r="V22" s="19" t="s">
        <v>100</v>
      </c>
      <c r="W22" s="19" t="s">
        <v>192</v>
      </c>
      <c r="Y22" s="19">
        <v>30</v>
      </c>
      <c r="AB22" s="18" t="s">
        <v>101</v>
      </c>
      <c r="AC22" s="18">
        <f t="shared" si="4"/>
        <v>2</v>
      </c>
      <c r="AD22" s="18">
        <f t="shared" si="5"/>
        <v>2</v>
      </c>
    </row>
    <row r="23" spans="1:30" x14ac:dyDescent="0.3">
      <c r="A23" s="19">
        <v>22</v>
      </c>
      <c r="B23" s="19">
        <v>11</v>
      </c>
      <c r="C23" s="19">
        <f t="shared" si="0"/>
        <v>12</v>
      </c>
      <c r="D23" s="19">
        <f t="shared" si="1"/>
        <v>108</v>
      </c>
      <c r="E23" s="19">
        <f t="shared" si="2"/>
        <v>0</v>
      </c>
      <c r="F23" s="19">
        <f t="shared" si="3"/>
        <v>20</v>
      </c>
      <c r="K23" s="30" t="s">
        <v>113</v>
      </c>
      <c r="L23" s="31"/>
      <c r="M23" s="31"/>
      <c r="N23" s="32"/>
      <c r="P23" s="33" t="s">
        <v>186</v>
      </c>
      <c r="Q23" s="34"/>
      <c r="T23" s="19">
        <v>22</v>
      </c>
      <c r="U23" s="19" t="s">
        <v>79</v>
      </c>
      <c r="V23" s="19" t="s">
        <v>82</v>
      </c>
      <c r="W23" s="19" t="s">
        <v>190</v>
      </c>
      <c r="Y23" s="19">
        <v>20</v>
      </c>
      <c r="AB23" s="18" t="s">
        <v>104</v>
      </c>
      <c r="AC23" s="18">
        <f t="shared" si="4"/>
        <v>2</v>
      </c>
      <c r="AD23" s="18">
        <f t="shared" si="5"/>
        <v>2</v>
      </c>
    </row>
    <row r="24" spans="1:30" x14ac:dyDescent="0.3">
      <c r="A24" s="19">
        <v>23</v>
      </c>
      <c r="B24" s="19">
        <v>12</v>
      </c>
      <c r="C24" s="19">
        <f t="shared" si="0"/>
        <v>13</v>
      </c>
      <c r="D24" s="19">
        <f t="shared" si="1"/>
        <v>101</v>
      </c>
      <c r="E24" s="19">
        <f t="shared" si="2"/>
        <v>20</v>
      </c>
      <c r="F24" s="19">
        <f t="shared" si="3"/>
        <v>0</v>
      </c>
      <c r="K24" s="21" t="s">
        <v>109</v>
      </c>
      <c r="L24" s="21" t="s">
        <v>6</v>
      </c>
      <c r="M24" s="21" t="s">
        <v>114</v>
      </c>
      <c r="N24" s="21" t="s">
        <v>115</v>
      </c>
      <c r="P24" s="27" t="s">
        <v>1</v>
      </c>
      <c r="Q24" s="27" t="s">
        <v>6</v>
      </c>
      <c r="T24" s="19">
        <v>23</v>
      </c>
      <c r="U24" s="19" t="s">
        <v>81</v>
      </c>
      <c r="V24" s="19" t="s">
        <v>84</v>
      </c>
      <c r="W24" s="19" t="s">
        <v>189</v>
      </c>
      <c r="X24" s="19">
        <v>20</v>
      </c>
      <c r="AB24" s="18" t="s">
        <v>105</v>
      </c>
      <c r="AC24" s="18">
        <f t="shared" si="4"/>
        <v>2</v>
      </c>
      <c r="AD24" s="18">
        <f t="shared" si="5"/>
        <v>2</v>
      </c>
    </row>
    <row r="25" spans="1:30" x14ac:dyDescent="0.3">
      <c r="A25" s="19">
        <v>24</v>
      </c>
      <c r="B25" s="19">
        <v>12</v>
      </c>
      <c r="C25" s="19">
        <f t="shared" si="0"/>
        <v>3</v>
      </c>
      <c r="D25" s="19">
        <f t="shared" si="1"/>
        <v>116</v>
      </c>
      <c r="E25" s="19">
        <f t="shared" si="2"/>
        <v>0</v>
      </c>
      <c r="F25" s="19">
        <f t="shared" si="3"/>
        <v>30</v>
      </c>
      <c r="K25" s="20">
        <v>1</v>
      </c>
      <c r="L25" s="20" t="s">
        <v>116</v>
      </c>
      <c r="M25" s="20" t="s">
        <v>117</v>
      </c>
      <c r="N25" s="20">
        <v>0</v>
      </c>
      <c r="P25" s="26">
        <v>1</v>
      </c>
      <c r="Q25" s="26" t="s">
        <v>61</v>
      </c>
      <c r="T25" s="19">
        <v>24</v>
      </c>
      <c r="U25" s="19" t="s">
        <v>81</v>
      </c>
      <c r="V25" s="19" t="s">
        <v>65</v>
      </c>
      <c r="W25" s="19" t="s">
        <v>196</v>
      </c>
      <c r="Y25" s="19">
        <v>30</v>
      </c>
    </row>
    <row r="26" spans="1:30" x14ac:dyDescent="0.3">
      <c r="A26" s="19">
        <v>25</v>
      </c>
      <c r="B26" s="19">
        <v>13</v>
      </c>
      <c r="C26" s="19">
        <f t="shared" si="0"/>
        <v>5</v>
      </c>
      <c r="D26" s="19">
        <f t="shared" si="1"/>
        <v>103</v>
      </c>
      <c r="E26" s="19">
        <f t="shared" si="2"/>
        <v>30</v>
      </c>
      <c r="F26" s="19">
        <f t="shared" si="3"/>
        <v>0</v>
      </c>
      <c r="K26" s="20">
        <v>2</v>
      </c>
      <c r="L26" s="20" t="s">
        <v>118</v>
      </c>
      <c r="M26" s="20">
        <v>0</v>
      </c>
      <c r="N26" s="20" t="s">
        <v>119</v>
      </c>
      <c r="P26" s="26">
        <v>2</v>
      </c>
      <c r="Q26" s="26" t="s">
        <v>63</v>
      </c>
      <c r="T26" s="19">
        <v>25</v>
      </c>
      <c r="U26" s="19" t="s">
        <v>83</v>
      </c>
      <c r="V26" s="19" t="s">
        <v>69</v>
      </c>
      <c r="W26" s="19" t="s">
        <v>194</v>
      </c>
      <c r="X26" s="19">
        <v>30</v>
      </c>
    </row>
    <row r="27" spans="1:30" x14ac:dyDescent="0.3">
      <c r="A27" s="19">
        <v>26</v>
      </c>
      <c r="B27" s="19">
        <v>13</v>
      </c>
      <c r="C27" s="19">
        <f t="shared" si="0"/>
        <v>18</v>
      </c>
      <c r="D27" s="19">
        <f t="shared" si="1"/>
        <v>109</v>
      </c>
      <c r="E27" s="19">
        <f t="shared" si="2"/>
        <v>0</v>
      </c>
      <c r="F27" s="19">
        <f t="shared" si="3"/>
        <v>20</v>
      </c>
      <c r="K27" s="20">
        <v>3</v>
      </c>
      <c r="L27" s="20" t="s">
        <v>120</v>
      </c>
      <c r="M27" s="20" t="s">
        <v>121</v>
      </c>
      <c r="N27" s="20">
        <v>0</v>
      </c>
      <c r="P27" s="26">
        <v>3</v>
      </c>
      <c r="Q27" s="26" t="s">
        <v>65</v>
      </c>
      <c r="T27" s="19">
        <v>26</v>
      </c>
      <c r="U27" s="19" t="s">
        <v>83</v>
      </c>
      <c r="V27" s="19" t="s">
        <v>94</v>
      </c>
      <c r="W27" s="19" t="s">
        <v>193</v>
      </c>
      <c r="Y27" s="19">
        <v>20</v>
      </c>
    </row>
    <row r="28" spans="1:30" x14ac:dyDescent="0.3">
      <c r="A28" s="19">
        <v>27</v>
      </c>
      <c r="B28" s="19">
        <v>14</v>
      </c>
      <c r="C28" s="19">
        <f t="shared" si="0"/>
        <v>3</v>
      </c>
      <c r="D28" s="19">
        <f t="shared" si="1"/>
        <v>104</v>
      </c>
      <c r="E28" s="19">
        <f t="shared" si="2"/>
        <v>30</v>
      </c>
      <c r="F28" s="19">
        <f t="shared" si="3"/>
        <v>0</v>
      </c>
      <c r="K28" s="20">
        <v>4</v>
      </c>
      <c r="L28" s="20" t="s">
        <v>122</v>
      </c>
      <c r="M28" s="20" t="s">
        <v>123</v>
      </c>
      <c r="N28" s="20" t="s">
        <v>124</v>
      </c>
      <c r="P28" s="26">
        <v>4</v>
      </c>
      <c r="Q28" s="26" t="s">
        <v>67</v>
      </c>
      <c r="T28" s="19">
        <v>27</v>
      </c>
      <c r="U28" s="19" t="s">
        <v>85</v>
      </c>
      <c r="V28" s="19" t="s">
        <v>65</v>
      </c>
      <c r="W28" s="19" t="s">
        <v>188</v>
      </c>
      <c r="X28" s="19">
        <v>30</v>
      </c>
    </row>
    <row r="29" spans="1:30" x14ac:dyDescent="0.3">
      <c r="A29" s="19">
        <v>28</v>
      </c>
      <c r="B29" s="19">
        <v>14</v>
      </c>
      <c r="C29" s="19">
        <f t="shared" si="0"/>
        <v>1</v>
      </c>
      <c r="D29" s="19">
        <f t="shared" si="1"/>
        <v>110</v>
      </c>
      <c r="E29" s="19">
        <f t="shared" si="2"/>
        <v>0</v>
      </c>
      <c r="F29" s="19">
        <f t="shared" si="3"/>
        <v>30</v>
      </c>
      <c r="K29" s="20">
        <v>5</v>
      </c>
      <c r="L29" s="20" t="s">
        <v>125</v>
      </c>
      <c r="M29" s="20" t="s">
        <v>126</v>
      </c>
      <c r="N29" s="20"/>
      <c r="P29" s="26">
        <v>5</v>
      </c>
      <c r="Q29" s="26" t="s">
        <v>69</v>
      </c>
      <c r="T29" s="19">
        <v>28</v>
      </c>
      <c r="U29" s="19" t="s">
        <v>85</v>
      </c>
      <c r="V29" s="19" t="s">
        <v>61</v>
      </c>
      <c r="W29" s="19" t="s">
        <v>195</v>
      </c>
      <c r="Y29" s="19">
        <v>30</v>
      </c>
    </row>
    <row r="30" spans="1:30" x14ac:dyDescent="0.3">
      <c r="A30" s="19">
        <v>29</v>
      </c>
      <c r="B30" s="19">
        <v>15</v>
      </c>
      <c r="C30" s="19">
        <f t="shared" si="0"/>
        <v>20</v>
      </c>
      <c r="D30" s="19">
        <f t="shared" si="1"/>
        <v>107</v>
      </c>
      <c r="E30" s="19">
        <f t="shared" si="2"/>
        <v>0</v>
      </c>
      <c r="F30" s="19">
        <f t="shared" si="3"/>
        <v>30</v>
      </c>
      <c r="K30" s="20">
        <v>6</v>
      </c>
      <c r="L30" s="20" t="s">
        <v>127</v>
      </c>
      <c r="M30" s="20" t="s">
        <v>128</v>
      </c>
      <c r="N30" s="20"/>
      <c r="P30" s="26">
        <v>6</v>
      </c>
      <c r="Q30" s="26" t="s">
        <v>187</v>
      </c>
      <c r="T30" s="19">
        <v>29</v>
      </c>
      <c r="U30" s="19" t="s">
        <v>87</v>
      </c>
      <c r="V30" s="19" t="s">
        <v>98</v>
      </c>
      <c r="W30" s="19" t="s">
        <v>192</v>
      </c>
      <c r="Y30" s="19">
        <v>30</v>
      </c>
    </row>
    <row r="31" spans="1:30" x14ac:dyDescent="0.3">
      <c r="A31" s="19">
        <v>30</v>
      </c>
      <c r="B31" s="19">
        <v>15</v>
      </c>
      <c r="C31" s="19">
        <f t="shared" si="0"/>
        <v>1</v>
      </c>
      <c r="D31" s="19">
        <f t="shared" si="1"/>
        <v>102</v>
      </c>
      <c r="E31" s="19">
        <f t="shared" si="2"/>
        <v>20</v>
      </c>
      <c r="F31" s="19">
        <f t="shared" si="3"/>
        <v>0</v>
      </c>
      <c r="K31" s="20">
        <v>7</v>
      </c>
      <c r="L31" s="20" t="s">
        <v>129</v>
      </c>
      <c r="M31" s="20" t="s">
        <v>130</v>
      </c>
      <c r="N31" s="20" t="s">
        <v>131</v>
      </c>
      <c r="P31" s="26">
        <v>7</v>
      </c>
      <c r="Q31" s="26" t="s">
        <v>72</v>
      </c>
      <c r="T31" s="19">
        <v>30</v>
      </c>
      <c r="U31" s="19" t="s">
        <v>87</v>
      </c>
      <c r="V31" s="19" t="s">
        <v>61</v>
      </c>
      <c r="W31" s="19" t="s">
        <v>191</v>
      </c>
      <c r="X31" s="19">
        <v>20</v>
      </c>
    </row>
    <row r="32" spans="1:30" x14ac:dyDescent="0.3">
      <c r="A32" s="19">
        <v>31</v>
      </c>
      <c r="B32" s="19">
        <v>16</v>
      </c>
      <c r="C32" s="19">
        <f t="shared" si="0"/>
        <v>7</v>
      </c>
      <c r="D32" s="19">
        <f t="shared" si="1"/>
        <v>108</v>
      </c>
      <c r="E32" s="19">
        <f t="shared" si="2"/>
        <v>0</v>
      </c>
      <c r="F32" s="19">
        <f t="shared" si="3"/>
        <v>20</v>
      </c>
      <c r="K32" s="20">
        <v>8</v>
      </c>
      <c r="L32" s="20" t="s">
        <v>132</v>
      </c>
      <c r="M32" s="20" t="s">
        <v>130</v>
      </c>
      <c r="N32" s="20" t="s">
        <v>131</v>
      </c>
      <c r="P32" s="26">
        <v>8</v>
      </c>
      <c r="Q32" s="26" t="s">
        <v>74</v>
      </c>
      <c r="T32" s="19">
        <v>31</v>
      </c>
      <c r="U32" s="19" t="s">
        <v>89</v>
      </c>
      <c r="V32" s="19" t="s">
        <v>72</v>
      </c>
      <c r="W32" s="19" t="s">
        <v>190</v>
      </c>
      <c r="Y32" s="19">
        <v>20</v>
      </c>
    </row>
    <row r="33" spans="1:25" x14ac:dyDescent="0.3">
      <c r="A33" s="19">
        <v>32</v>
      </c>
      <c r="B33" s="19">
        <v>16</v>
      </c>
      <c r="C33" s="19">
        <f t="shared" si="0"/>
        <v>15</v>
      </c>
      <c r="D33" s="19">
        <f t="shared" si="1"/>
        <v>116</v>
      </c>
      <c r="E33" s="19">
        <f t="shared" si="2"/>
        <v>0</v>
      </c>
      <c r="F33" s="19">
        <f t="shared" si="3"/>
        <v>30</v>
      </c>
      <c r="K33" s="20">
        <v>9</v>
      </c>
      <c r="L33" s="20" t="s">
        <v>133</v>
      </c>
      <c r="M33" s="20" t="s">
        <v>130</v>
      </c>
      <c r="N33" s="20" t="s">
        <v>131</v>
      </c>
      <c r="P33" s="26">
        <v>9</v>
      </c>
      <c r="Q33" s="26" t="s">
        <v>76</v>
      </c>
      <c r="T33" s="19">
        <v>32</v>
      </c>
      <c r="U33" s="19" t="s">
        <v>89</v>
      </c>
      <c r="V33" s="19" t="s">
        <v>88</v>
      </c>
      <c r="W33" s="19" t="s">
        <v>196</v>
      </c>
      <c r="Y33" s="19">
        <v>30</v>
      </c>
    </row>
    <row r="34" spans="1:25" x14ac:dyDescent="0.3">
      <c r="A34" s="19">
        <v>33</v>
      </c>
      <c r="B34" s="19">
        <v>17</v>
      </c>
      <c r="C34" s="19">
        <f t="shared" si="0"/>
        <v>14</v>
      </c>
      <c r="D34" s="19">
        <f t="shared" si="1"/>
        <v>103</v>
      </c>
      <c r="E34" s="19">
        <f t="shared" si="2"/>
        <v>20</v>
      </c>
      <c r="F34" s="19">
        <f t="shared" si="3"/>
        <v>0</v>
      </c>
      <c r="K34" s="20">
        <v>10</v>
      </c>
      <c r="L34" s="20" t="s">
        <v>134</v>
      </c>
      <c r="M34" s="20" t="s">
        <v>135</v>
      </c>
      <c r="N34" s="20" t="s">
        <v>136</v>
      </c>
      <c r="P34" s="26">
        <v>10</v>
      </c>
      <c r="Q34" s="26" t="s">
        <v>78</v>
      </c>
      <c r="T34" s="19">
        <v>33</v>
      </c>
      <c r="U34" s="19" t="s">
        <v>91</v>
      </c>
      <c r="V34" s="19" t="s">
        <v>86</v>
      </c>
      <c r="W34" s="19" t="s">
        <v>194</v>
      </c>
      <c r="X34" s="19">
        <v>20</v>
      </c>
    </row>
    <row r="35" spans="1:25" x14ac:dyDescent="0.3">
      <c r="A35" s="19">
        <v>34</v>
      </c>
      <c r="B35" s="19">
        <v>17</v>
      </c>
      <c r="C35" s="19">
        <f t="shared" si="0"/>
        <v>9</v>
      </c>
      <c r="D35" s="19">
        <f t="shared" si="1"/>
        <v>101</v>
      </c>
      <c r="E35" s="19">
        <f t="shared" si="2"/>
        <v>20</v>
      </c>
      <c r="F35" s="19">
        <f t="shared" si="3"/>
        <v>0</v>
      </c>
      <c r="K35" s="20">
        <v>11</v>
      </c>
      <c r="L35" s="20" t="s">
        <v>137</v>
      </c>
      <c r="M35" s="20" t="s">
        <v>135</v>
      </c>
      <c r="N35" s="20" t="s">
        <v>138</v>
      </c>
      <c r="P35" s="26">
        <v>11</v>
      </c>
      <c r="Q35" s="26" t="s">
        <v>80</v>
      </c>
      <c r="T35" s="19">
        <v>34</v>
      </c>
      <c r="U35" s="19" t="s">
        <v>91</v>
      </c>
      <c r="V35" s="19" t="s">
        <v>76</v>
      </c>
      <c r="W35" s="19" t="s">
        <v>189</v>
      </c>
      <c r="X35" s="19">
        <v>20</v>
      </c>
    </row>
    <row r="36" spans="1:25" x14ac:dyDescent="0.3">
      <c r="A36" s="19">
        <v>35</v>
      </c>
      <c r="B36" s="19">
        <v>18</v>
      </c>
      <c r="C36" s="19">
        <f t="shared" si="0"/>
        <v>16</v>
      </c>
      <c r="D36" s="19">
        <f t="shared" si="1"/>
        <v>110</v>
      </c>
      <c r="E36" s="19">
        <f t="shared" si="2"/>
        <v>0</v>
      </c>
      <c r="F36" s="19">
        <f t="shared" si="3"/>
        <v>30</v>
      </c>
      <c r="K36" s="20">
        <v>12</v>
      </c>
      <c r="L36" s="20" t="s">
        <v>139</v>
      </c>
      <c r="M36" s="20" t="s">
        <v>140</v>
      </c>
      <c r="N36" s="20" t="s">
        <v>141</v>
      </c>
      <c r="P36" s="26">
        <v>12</v>
      </c>
      <c r="Q36" s="26" t="s">
        <v>82</v>
      </c>
      <c r="T36" s="19">
        <v>35</v>
      </c>
      <c r="U36" s="19" t="s">
        <v>93</v>
      </c>
      <c r="V36" s="19" t="s">
        <v>90</v>
      </c>
      <c r="W36" s="19" t="s">
        <v>195</v>
      </c>
      <c r="Y36" s="19">
        <v>30</v>
      </c>
    </row>
    <row r="37" spans="1:25" x14ac:dyDescent="0.3">
      <c r="A37" s="19">
        <v>36</v>
      </c>
      <c r="B37" s="19">
        <v>18</v>
      </c>
      <c r="C37" s="19">
        <f t="shared" si="0"/>
        <v>11</v>
      </c>
      <c r="D37" s="19">
        <f t="shared" si="1"/>
        <v>109</v>
      </c>
      <c r="E37" s="19">
        <f t="shared" si="2"/>
        <v>0</v>
      </c>
      <c r="F37" s="19">
        <f t="shared" si="3"/>
        <v>20</v>
      </c>
      <c r="K37" s="20">
        <v>99</v>
      </c>
      <c r="L37" s="20" t="s">
        <v>142</v>
      </c>
      <c r="M37" s="20" t="s">
        <v>143</v>
      </c>
      <c r="N37" s="20"/>
      <c r="P37" s="26">
        <v>13</v>
      </c>
      <c r="Q37" s="26" t="s">
        <v>84</v>
      </c>
      <c r="T37" s="19">
        <v>36</v>
      </c>
      <c r="U37" s="19" t="s">
        <v>93</v>
      </c>
      <c r="V37" s="19" t="s">
        <v>80</v>
      </c>
      <c r="W37" s="19" t="s">
        <v>193</v>
      </c>
      <c r="Y37" s="19">
        <v>20</v>
      </c>
    </row>
    <row r="38" spans="1:25" x14ac:dyDescent="0.3">
      <c r="A38" s="19">
        <v>37</v>
      </c>
      <c r="B38" s="19">
        <v>19</v>
      </c>
      <c r="C38" s="19">
        <f t="shared" si="0"/>
        <v>17</v>
      </c>
      <c r="D38" s="19">
        <f t="shared" si="1"/>
        <v>104</v>
      </c>
      <c r="E38" s="19">
        <f t="shared" si="2"/>
        <v>30</v>
      </c>
      <c r="F38" s="19">
        <f t="shared" si="3"/>
        <v>0</v>
      </c>
      <c r="J38" s="22"/>
      <c r="K38" s="23"/>
      <c r="L38" s="24"/>
      <c r="M38" s="24"/>
      <c r="N38" s="25"/>
      <c r="O38" s="22"/>
      <c r="P38" s="26">
        <v>14</v>
      </c>
      <c r="Q38" s="26" t="s">
        <v>86</v>
      </c>
      <c r="T38" s="19">
        <v>37</v>
      </c>
      <c r="U38" s="19" t="s">
        <v>95</v>
      </c>
      <c r="V38" s="19" t="s">
        <v>92</v>
      </c>
      <c r="W38" s="19" t="s">
        <v>188</v>
      </c>
      <c r="X38" s="19">
        <v>30</v>
      </c>
    </row>
    <row r="39" spans="1:25" x14ac:dyDescent="0.3">
      <c r="A39" s="19">
        <v>38</v>
      </c>
      <c r="B39" s="19">
        <v>19</v>
      </c>
      <c r="C39" s="19">
        <f t="shared" si="0"/>
        <v>22</v>
      </c>
      <c r="D39" s="19">
        <f t="shared" si="1"/>
        <v>103</v>
      </c>
      <c r="E39" s="19">
        <f t="shared" si="2"/>
        <v>20</v>
      </c>
      <c r="F39" s="19">
        <f t="shared" si="3"/>
        <v>0</v>
      </c>
      <c r="K39" s="20">
        <v>101</v>
      </c>
      <c r="L39" s="20" t="s">
        <v>144</v>
      </c>
      <c r="M39" s="20" t="s">
        <v>145</v>
      </c>
      <c r="N39" s="20" t="s">
        <v>146</v>
      </c>
      <c r="P39" s="26">
        <v>15</v>
      </c>
      <c r="Q39" s="26" t="s">
        <v>88</v>
      </c>
      <c r="T39" s="19">
        <v>38</v>
      </c>
      <c r="U39" s="19" t="s">
        <v>95</v>
      </c>
      <c r="V39" s="19" t="s">
        <v>102</v>
      </c>
      <c r="W39" s="19" t="s">
        <v>194</v>
      </c>
      <c r="X39" s="19">
        <v>20</v>
      </c>
    </row>
    <row r="40" spans="1:25" x14ac:dyDescent="0.3">
      <c r="A40" s="19">
        <v>39</v>
      </c>
      <c r="B40" s="19">
        <v>20</v>
      </c>
      <c r="C40" s="19">
        <f t="shared" si="0"/>
        <v>2</v>
      </c>
      <c r="D40" s="19">
        <f t="shared" si="1"/>
        <v>107</v>
      </c>
      <c r="E40" s="19">
        <f t="shared" si="2"/>
        <v>0</v>
      </c>
      <c r="F40" s="19">
        <f t="shared" si="3"/>
        <v>30</v>
      </c>
      <c r="K40" s="20">
        <v>102</v>
      </c>
      <c r="L40" s="20" t="s">
        <v>147</v>
      </c>
      <c r="M40" s="20" t="s">
        <v>145</v>
      </c>
      <c r="N40" s="20" t="s">
        <v>146</v>
      </c>
      <c r="P40" s="26">
        <v>16</v>
      </c>
      <c r="Q40" s="26" t="s">
        <v>90</v>
      </c>
      <c r="T40" s="19">
        <v>39</v>
      </c>
      <c r="U40" s="19" t="s">
        <v>97</v>
      </c>
      <c r="V40" s="19" t="s">
        <v>63</v>
      </c>
      <c r="W40" s="19" t="s">
        <v>192</v>
      </c>
      <c r="Y40" s="19">
        <v>30</v>
      </c>
    </row>
    <row r="41" spans="1:25" x14ac:dyDescent="0.3">
      <c r="A41" s="19">
        <v>40</v>
      </c>
      <c r="B41" s="19">
        <v>20</v>
      </c>
      <c r="C41" s="19">
        <f t="shared" si="0"/>
        <v>11</v>
      </c>
      <c r="D41" s="19">
        <f t="shared" si="1"/>
        <v>110</v>
      </c>
      <c r="E41" s="19">
        <f t="shared" si="2"/>
        <v>0</v>
      </c>
      <c r="F41" s="19">
        <f t="shared" si="3"/>
        <v>30</v>
      </c>
      <c r="K41" s="20">
        <v>103</v>
      </c>
      <c r="L41" s="20" t="s">
        <v>148</v>
      </c>
      <c r="M41" s="20" t="s">
        <v>145</v>
      </c>
      <c r="N41" s="20" t="s">
        <v>146</v>
      </c>
      <c r="P41" s="26">
        <v>17</v>
      </c>
      <c r="Q41" s="26" t="s">
        <v>92</v>
      </c>
      <c r="T41" s="19">
        <v>40</v>
      </c>
      <c r="U41" s="19" t="s">
        <v>97</v>
      </c>
      <c r="V41" s="19" t="s">
        <v>80</v>
      </c>
      <c r="W41" s="19" t="s">
        <v>195</v>
      </c>
      <c r="Y41" s="19">
        <v>30</v>
      </c>
    </row>
    <row r="42" spans="1:25" x14ac:dyDescent="0.3">
      <c r="A42" s="19">
        <v>41</v>
      </c>
      <c r="B42" s="19">
        <v>21</v>
      </c>
      <c r="C42" s="19">
        <f t="shared" si="0"/>
        <v>13</v>
      </c>
      <c r="D42" s="19">
        <f t="shared" si="1"/>
        <v>101</v>
      </c>
      <c r="E42" s="19">
        <f t="shared" si="2"/>
        <v>20</v>
      </c>
      <c r="F42" s="19">
        <f t="shared" si="3"/>
        <v>0</v>
      </c>
      <c r="K42" s="20">
        <v>104</v>
      </c>
      <c r="L42" s="20" t="s">
        <v>149</v>
      </c>
      <c r="M42" s="20" t="s">
        <v>145</v>
      </c>
      <c r="N42" s="20" t="s">
        <v>146</v>
      </c>
      <c r="P42" s="26">
        <v>18</v>
      </c>
      <c r="Q42" s="26" t="s">
        <v>94</v>
      </c>
      <c r="T42" s="19">
        <v>41</v>
      </c>
      <c r="U42" s="19" t="s">
        <v>99</v>
      </c>
      <c r="V42" s="19" t="s">
        <v>84</v>
      </c>
      <c r="W42" s="19" t="s">
        <v>189</v>
      </c>
      <c r="X42" s="19">
        <v>20</v>
      </c>
    </row>
    <row r="43" spans="1:25" x14ac:dyDescent="0.3">
      <c r="A43" s="19">
        <v>42</v>
      </c>
      <c r="B43" s="19">
        <v>21</v>
      </c>
      <c r="C43" s="19">
        <f t="shared" si="0"/>
        <v>23</v>
      </c>
      <c r="D43" s="19">
        <f t="shared" si="1"/>
        <v>107</v>
      </c>
      <c r="E43" s="19">
        <f t="shared" si="2"/>
        <v>0</v>
      </c>
      <c r="F43" s="19">
        <f t="shared" si="3"/>
        <v>30</v>
      </c>
      <c r="K43" s="20">
        <v>105</v>
      </c>
      <c r="L43" s="20" t="s">
        <v>150</v>
      </c>
      <c r="M43" s="20" t="s">
        <v>145</v>
      </c>
      <c r="N43" s="20" t="s">
        <v>146</v>
      </c>
      <c r="P43" s="26">
        <v>19</v>
      </c>
      <c r="Q43" s="26" t="s">
        <v>96</v>
      </c>
      <c r="T43" s="19">
        <v>42</v>
      </c>
      <c r="U43" s="19" t="s">
        <v>99</v>
      </c>
      <c r="V43" s="19" t="s">
        <v>104</v>
      </c>
      <c r="W43" s="19" t="s">
        <v>192</v>
      </c>
      <c r="Y43" s="19">
        <v>30</v>
      </c>
    </row>
    <row r="44" spans="1:25" x14ac:dyDescent="0.3">
      <c r="A44" s="19">
        <v>43</v>
      </c>
      <c r="B44" s="19">
        <v>22</v>
      </c>
      <c r="C44" s="19">
        <f t="shared" si="0"/>
        <v>8</v>
      </c>
      <c r="D44" s="19">
        <f t="shared" si="1"/>
        <v>108</v>
      </c>
      <c r="E44" s="19">
        <f t="shared" si="2"/>
        <v>0</v>
      </c>
      <c r="F44" s="19">
        <f t="shared" si="3"/>
        <v>20</v>
      </c>
      <c r="K44" s="20">
        <v>106</v>
      </c>
      <c r="L44" s="20" t="s">
        <v>151</v>
      </c>
      <c r="M44" s="20" t="s">
        <v>145</v>
      </c>
      <c r="N44" s="20" t="s">
        <v>146</v>
      </c>
      <c r="P44" s="26">
        <v>20</v>
      </c>
      <c r="Q44" s="26" t="s">
        <v>98</v>
      </c>
      <c r="T44" s="19">
        <v>43</v>
      </c>
      <c r="U44" s="19" t="s">
        <v>101</v>
      </c>
      <c r="V44" s="19" t="s">
        <v>74</v>
      </c>
      <c r="W44" s="19" t="s">
        <v>190</v>
      </c>
      <c r="Y44" s="19">
        <v>20</v>
      </c>
    </row>
    <row r="45" spans="1:25" x14ac:dyDescent="0.3">
      <c r="A45" s="19">
        <v>44</v>
      </c>
      <c r="B45" s="19">
        <v>22</v>
      </c>
      <c r="C45" s="19">
        <f t="shared" si="0"/>
        <v>4</v>
      </c>
      <c r="D45" s="19">
        <f t="shared" si="1"/>
        <v>103</v>
      </c>
      <c r="E45" s="19">
        <f t="shared" si="2"/>
        <v>20</v>
      </c>
      <c r="F45" s="19">
        <f t="shared" si="3"/>
        <v>0</v>
      </c>
      <c r="K45" s="20">
        <v>107</v>
      </c>
      <c r="L45" s="20" t="s">
        <v>152</v>
      </c>
      <c r="M45" s="20" t="s">
        <v>145</v>
      </c>
      <c r="N45" s="20" t="s">
        <v>146</v>
      </c>
      <c r="P45" s="26">
        <v>21</v>
      </c>
      <c r="Q45" s="26" t="s">
        <v>100</v>
      </c>
      <c r="T45" s="19">
        <v>44</v>
      </c>
      <c r="U45" s="19" t="s">
        <v>101</v>
      </c>
      <c r="V45" s="19" t="s">
        <v>67</v>
      </c>
      <c r="W45" s="19" t="s">
        <v>194</v>
      </c>
      <c r="X45" s="19">
        <v>20</v>
      </c>
    </row>
    <row r="46" spans="1:25" x14ac:dyDescent="0.3">
      <c r="A46" s="19">
        <v>45</v>
      </c>
      <c r="B46" s="19">
        <v>23</v>
      </c>
      <c r="C46" s="19">
        <f t="shared" si="0"/>
        <v>24</v>
      </c>
      <c r="D46" s="19">
        <f t="shared" si="1"/>
        <v>116</v>
      </c>
      <c r="E46" s="19">
        <f t="shared" si="2"/>
        <v>0</v>
      </c>
      <c r="F46" s="19">
        <f t="shared" si="3"/>
        <v>30</v>
      </c>
      <c r="K46" s="20">
        <v>108</v>
      </c>
      <c r="L46" s="20" t="s">
        <v>153</v>
      </c>
      <c r="M46" s="20" t="s">
        <v>145</v>
      </c>
      <c r="N46" s="20" t="s">
        <v>146</v>
      </c>
      <c r="P46" s="26">
        <v>22</v>
      </c>
      <c r="Q46" s="26" t="s">
        <v>102</v>
      </c>
      <c r="T46" s="19">
        <v>45</v>
      </c>
      <c r="U46" s="19" t="s">
        <v>103</v>
      </c>
      <c r="V46" s="19" t="s">
        <v>106</v>
      </c>
      <c r="W46" s="19" t="s">
        <v>196</v>
      </c>
      <c r="Y46" s="19">
        <v>30</v>
      </c>
    </row>
    <row r="47" spans="1:25" x14ac:dyDescent="0.3">
      <c r="A47" s="19">
        <v>46</v>
      </c>
      <c r="B47" s="19">
        <v>23</v>
      </c>
      <c r="C47" s="19">
        <f t="shared" si="0"/>
        <v>15</v>
      </c>
      <c r="D47" s="19">
        <f t="shared" si="1"/>
        <v>109</v>
      </c>
      <c r="E47" s="19">
        <f t="shared" si="2"/>
        <v>0</v>
      </c>
      <c r="F47" s="19">
        <f t="shared" si="3"/>
        <v>20</v>
      </c>
      <c r="K47" s="20">
        <v>109</v>
      </c>
      <c r="L47" s="20" t="s">
        <v>154</v>
      </c>
      <c r="M47" s="20" t="s">
        <v>145</v>
      </c>
      <c r="N47" s="20" t="s">
        <v>146</v>
      </c>
      <c r="P47" s="26">
        <v>23</v>
      </c>
      <c r="Q47" s="26" t="s">
        <v>104</v>
      </c>
      <c r="T47" s="19">
        <v>46</v>
      </c>
      <c r="U47" s="19" t="s">
        <v>103</v>
      </c>
      <c r="V47" s="19" t="s">
        <v>88</v>
      </c>
      <c r="W47" s="19" t="s">
        <v>193</v>
      </c>
      <c r="Y47" s="19">
        <v>20</v>
      </c>
    </row>
    <row r="48" spans="1:25" x14ac:dyDescent="0.3">
      <c r="A48" s="19">
        <v>47</v>
      </c>
      <c r="B48" s="19">
        <v>24</v>
      </c>
      <c r="C48" s="19">
        <f t="shared" si="0"/>
        <v>17</v>
      </c>
      <c r="D48" s="19">
        <f t="shared" si="1"/>
        <v>104</v>
      </c>
      <c r="E48" s="19">
        <f t="shared" si="2"/>
        <v>30</v>
      </c>
      <c r="F48" s="19">
        <f t="shared" si="3"/>
        <v>0</v>
      </c>
      <c r="K48" s="20">
        <v>110</v>
      </c>
      <c r="L48" s="20" t="s">
        <v>155</v>
      </c>
      <c r="M48" s="20" t="s">
        <v>145</v>
      </c>
      <c r="N48" s="20" t="s">
        <v>146</v>
      </c>
      <c r="P48" s="26">
        <v>24</v>
      </c>
      <c r="Q48" s="26" t="s">
        <v>106</v>
      </c>
      <c r="T48" s="19">
        <v>47</v>
      </c>
      <c r="U48" s="19" t="s">
        <v>105</v>
      </c>
      <c r="V48" s="19" t="s">
        <v>92</v>
      </c>
      <c r="W48" s="19" t="s">
        <v>188</v>
      </c>
      <c r="X48" s="19">
        <v>30</v>
      </c>
    </row>
    <row r="49" spans="1:25" x14ac:dyDescent="0.3">
      <c r="A49" s="19">
        <v>48</v>
      </c>
      <c r="B49" s="19">
        <v>24</v>
      </c>
      <c r="C49" s="19">
        <f t="shared" si="0"/>
        <v>19</v>
      </c>
      <c r="D49" s="19">
        <f t="shared" si="1"/>
        <v>109</v>
      </c>
      <c r="E49" s="19">
        <f t="shared" si="2"/>
        <v>0</v>
      </c>
      <c r="F49" s="19">
        <f t="shared" si="3"/>
        <v>20</v>
      </c>
      <c r="K49" s="20">
        <v>111</v>
      </c>
      <c r="L49" s="20" t="s">
        <v>156</v>
      </c>
      <c r="M49" s="20" t="s">
        <v>145</v>
      </c>
      <c r="N49" s="20" t="s">
        <v>146</v>
      </c>
      <c r="T49" s="19">
        <v>48</v>
      </c>
      <c r="U49" s="19" t="s">
        <v>105</v>
      </c>
      <c r="V49" s="19" t="s">
        <v>96</v>
      </c>
      <c r="W49" s="19" t="s">
        <v>193</v>
      </c>
      <c r="Y49" s="19">
        <v>20</v>
      </c>
    </row>
    <row r="50" spans="1:25" x14ac:dyDescent="0.3">
      <c r="A50" s="19">
        <v>49</v>
      </c>
      <c r="B50" s="19">
        <v>1</v>
      </c>
      <c r="C50" s="19">
        <f t="shared" si="0"/>
        <v>12</v>
      </c>
      <c r="D50" s="19">
        <f t="shared" si="1"/>
        <v>109</v>
      </c>
      <c r="E50" s="19">
        <f t="shared" si="2"/>
        <v>0</v>
      </c>
      <c r="F50" s="19">
        <f t="shared" si="3"/>
        <v>-20</v>
      </c>
      <c r="K50" s="20">
        <v>112</v>
      </c>
      <c r="L50" s="20" t="s">
        <v>157</v>
      </c>
      <c r="M50" s="20" t="s">
        <v>145</v>
      </c>
      <c r="N50" s="20" t="s">
        <v>146</v>
      </c>
      <c r="T50" s="19">
        <v>49</v>
      </c>
      <c r="U50" s="19" t="s">
        <v>60</v>
      </c>
      <c r="V50" s="19" t="s">
        <v>82</v>
      </c>
      <c r="W50" s="19" t="s">
        <v>193</v>
      </c>
      <c r="Y50" s="19">
        <v>-20</v>
      </c>
    </row>
    <row r="51" spans="1:25" x14ac:dyDescent="0.3">
      <c r="A51" s="19">
        <v>50</v>
      </c>
      <c r="B51" s="19">
        <v>1</v>
      </c>
      <c r="C51" s="19">
        <f t="shared" si="0"/>
        <v>23</v>
      </c>
      <c r="D51" s="19">
        <f t="shared" si="1"/>
        <v>102</v>
      </c>
      <c r="E51" s="19">
        <f t="shared" si="2"/>
        <v>-30</v>
      </c>
      <c r="F51" s="19">
        <f t="shared" si="3"/>
        <v>0</v>
      </c>
      <c r="K51" s="20">
        <v>113</v>
      </c>
      <c r="L51" s="20" t="s">
        <v>158</v>
      </c>
      <c r="M51" s="20" t="s">
        <v>145</v>
      </c>
      <c r="N51" s="20" t="s">
        <v>146</v>
      </c>
      <c r="T51" s="19">
        <v>50</v>
      </c>
      <c r="U51" s="19" t="s">
        <v>60</v>
      </c>
      <c r="V51" s="19" t="s">
        <v>104</v>
      </c>
      <c r="W51" s="19" t="s">
        <v>191</v>
      </c>
      <c r="X51" s="19">
        <v>-30</v>
      </c>
    </row>
    <row r="52" spans="1:25" x14ac:dyDescent="0.3">
      <c r="A52" s="19">
        <v>51</v>
      </c>
      <c r="B52" s="19">
        <v>2</v>
      </c>
      <c r="C52" s="19">
        <f t="shared" si="0"/>
        <v>17</v>
      </c>
      <c r="D52" s="19">
        <f t="shared" si="1"/>
        <v>109</v>
      </c>
      <c r="E52" s="19">
        <f t="shared" si="2"/>
        <v>0</v>
      </c>
      <c r="F52" s="19">
        <f t="shared" si="3"/>
        <v>-20</v>
      </c>
      <c r="K52" s="20">
        <v>114</v>
      </c>
      <c r="L52" s="20" t="s">
        <v>159</v>
      </c>
      <c r="M52" s="20" t="s">
        <v>145</v>
      </c>
      <c r="N52" s="20" t="s">
        <v>146</v>
      </c>
      <c r="T52" s="19">
        <v>51</v>
      </c>
      <c r="U52" s="19" t="s">
        <v>62</v>
      </c>
      <c r="V52" s="19" t="s">
        <v>92</v>
      </c>
      <c r="W52" s="19" t="s">
        <v>193</v>
      </c>
      <c r="Y52" s="19">
        <v>-20</v>
      </c>
    </row>
    <row r="53" spans="1:25" x14ac:dyDescent="0.3">
      <c r="A53" s="19">
        <v>52</v>
      </c>
      <c r="B53" s="19">
        <v>2</v>
      </c>
      <c r="C53" s="19">
        <f t="shared" si="0"/>
        <v>14</v>
      </c>
      <c r="D53" s="19">
        <f t="shared" si="1"/>
        <v>116</v>
      </c>
      <c r="E53" s="19">
        <f t="shared" si="2"/>
        <v>0</v>
      </c>
      <c r="F53" s="19">
        <f t="shared" si="3"/>
        <v>-30</v>
      </c>
      <c r="K53" s="20">
        <v>115</v>
      </c>
      <c r="L53" s="20" t="s">
        <v>160</v>
      </c>
      <c r="M53" s="20" t="s">
        <v>145</v>
      </c>
      <c r="N53" s="20" t="s">
        <v>146</v>
      </c>
      <c r="T53" s="19">
        <v>52</v>
      </c>
      <c r="U53" s="19" t="s">
        <v>62</v>
      </c>
      <c r="V53" s="19" t="s">
        <v>86</v>
      </c>
      <c r="W53" s="19" t="s">
        <v>196</v>
      </c>
      <c r="Y53" s="19">
        <v>-30</v>
      </c>
    </row>
    <row r="54" spans="1:25" x14ac:dyDescent="0.3">
      <c r="A54" s="19">
        <v>53</v>
      </c>
      <c r="B54" s="19">
        <v>3</v>
      </c>
      <c r="C54" s="19">
        <f t="shared" si="0"/>
        <v>21</v>
      </c>
      <c r="D54" s="19">
        <f t="shared" si="1"/>
        <v>103</v>
      </c>
      <c r="E54" s="19">
        <f t="shared" si="2"/>
        <v>-20</v>
      </c>
      <c r="F54" s="19">
        <f t="shared" si="3"/>
        <v>0</v>
      </c>
      <c r="K54" s="20">
        <v>116</v>
      </c>
      <c r="L54" s="20" t="s">
        <v>161</v>
      </c>
      <c r="M54" s="20" t="s">
        <v>145</v>
      </c>
      <c r="N54" s="20" t="s">
        <v>146</v>
      </c>
      <c r="T54" s="19">
        <v>53</v>
      </c>
      <c r="U54" s="19" t="s">
        <v>64</v>
      </c>
      <c r="V54" s="19" t="s">
        <v>100</v>
      </c>
      <c r="W54" s="19" t="s">
        <v>194</v>
      </c>
      <c r="X54" s="19">
        <v>-20</v>
      </c>
    </row>
    <row r="55" spans="1:25" x14ac:dyDescent="0.3">
      <c r="A55" s="19">
        <v>54</v>
      </c>
      <c r="B55" s="19">
        <v>3</v>
      </c>
      <c r="C55" s="19">
        <f t="shared" si="0"/>
        <v>1</v>
      </c>
      <c r="D55" s="19">
        <f t="shared" si="1"/>
        <v>108</v>
      </c>
      <c r="E55" s="19">
        <f t="shared" si="2"/>
        <v>0</v>
      </c>
      <c r="F55" s="19">
        <f t="shared" si="3"/>
        <v>-20</v>
      </c>
      <c r="K55" s="20">
        <v>117</v>
      </c>
      <c r="L55" s="20" t="s">
        <v>162</v>
      </c>
      <c r="M55" s="20" t="s">
        <v>145</v>
      </c>
      <c r="N55" s="20" t="s">
        <v>146</v>
      </c>
      <c r="T55" s="19">
        <v>54</v>
      </c>
      <c r="U55" s="19" t="s">
        <v>64</v>
      </c>
      <c r="V55" s="19" t="s">
        <v>61</v>
      </c>
      <c r="W55" s="19" t="s">
        <v>190</v>
      </c>
      <c r="Y55" s="19">
        <v>-20</v>
      </c>
    </row>
    <row r="56" spans="1:25" x14ac:dyDescent="0.3">
      <c r="A56" s="19">
        <v>55</v>
      </c>
      <c r="B56" s="19">
        <v>4</v>
      </c>
      <c r="C56" s="19">
        <f t="shared" si="0"/>
        <v>11</v>
      </c>
      <c r="D56" s="19">
        <f t="shared" si="1"/>
        <v>107</v>
      </c>
      <c r="E56" s="19">
        <f t="shared" si="2"/>
        <v>0</v>
      </c>
      <c r="F56" s="19">
        <f t="shared" si="3"/>
        <v>-30</v>
      </c>
      <c r="K56" s="20">
        <v>118</v>
      </c>
      <c r="L56" s="20" t="s">
        <v>163</v>
      </c>
      <c r="M56" s="20" t="s">
        <v>145</v>
      </c>
      <c r="N56" s="20" t="s">
        <v>146</v>
      </c>
      <c r="T56" s="19">
        <v>55</v>
      </c>
      <c r="U56" s="19" t="s">
        <v>66</v>
      </c>
      <c r="V56" s="19" t="s">
        <v>80</v>
      </c>
      <c r="W56" s="19" t="s">
        <v>192</v>
      </c>
      <c r="Y56" s="19">
        <v>-30</v>
      </c>
    </row>
    <row r="57" spans="1:25" x14ac:dyDescent="0.3">
      <c r="A57" s="19">
        <v>56</v>
      </c>
      <c r="B57" s="19">
        <v>4</v>
      </c>
      <c r="C57" s="19">
        <f t="shared" si="0"/>
        <v>15</v>
      </c>
      <c r="D57" s="19">
        <f t="shared" si="1"/>
        <v>101</v>
      </c>
      <c r="E57" s="19">
        <f t="shared" si="2"/>
        <v>-20</v>
      </c>
      <c r="F57" s="19">
        <f t="shared" si="3"/>
        <v>0</v>
      </c>
      <c r="K57" s="20">
        <v>119</v>
      </c>
      <c r="L57" s="20" t="s">
        <v>164</v>
      </c>
      <c r="M57" s="20" t="s">
        <v>145</v>
      </c>
      <c r="N57" s="20" t="s">
        <v>146</v>
      </c>
      <c r="T57" s="19">
        <v>56</v>
      </c>
      <c r="U57" s="19" t="s">
        <v>66</v>
      </c>
      <c r="V57" s="19" t="s">
        <v>88</v>
      </c>
      <c r="W57" s="19" t="s">
        <v>189</v>
      </c>
      <c r="X57" s="19">
        <v>-20</v>
      </c>
    </row>
    <row r="58" spans="1:25" x14ac:dyDescent="0.3">
      <c r="A58" s="19">
        <v>57</v>
      </c>
      <c r="B58" s="19">
        <v>5</v>
      </c>
      <c r="C58" s="19">
        <f t="shared" si="0"/>
        <v>20</v>
      </c>
      <c r="D58" s="19">
        <f t="shared" si="1"/>
        <v>107</v>
      </c>
      <c r="E58" s="19">
        <f t="shared" si="2"/>
        <v>0</v>
      </c>
      <c r="F58" s="19">
        <f t="shared" si="3"/>
        <v>-30</v>
      </c>
      <c r="K58" s="20">
        <v>120</v>
      </c>
      <c r="L58" s="20" t="s">
        <v>165</v>
      </c>
      <c r="M58" s="20" t="s">
        <v>145</v>
      </c>
      <c r="N58" s="20" t="s">
        <v>146</v>
      </c>
      <c r="T58" s="19">
        <v>57</v>
      </c>
      <c r="U58" s="19" t="s">
        <v>68</v>
      </c>
      <c r="V58" s="19" t="s">
        <v>98</v>
      </c>
      <c r="W58" s="19" t="s">
        <v>192</v>
      </c>
      <c r="Y58" s="19">
        <v>-30</v>
      </c>
    </row>
    <row r="59" spans="1:25" x14ac:dyDescent="0.3">
      <c r="A59" s="19">
        <v>58</v>
      </c>
      <c r="B59" s="19">
        <v>5</v>
      </c>
      <c r="C59" s="19">
        <f t="shared" si="0"/>
        <v>8</v>
      </c>
      <c r="D59" s="19">
        <f t="shared" si="1"/>
        <v>110</v>
      </c>
      <c r="E59" s="19">
        <f t="shared" si="2"/>
        <v>0</v>
      </c>
      <c r="F59" s="19">
        <f t="shared" si="3"/>
        <v>-30</v>
      </c>
      <c r="K59" s="20">
        <v>121</v>
      </c>
      <c r="L59" s="20" t="s">
        <v>166</v>
      </c>
      <c r="M59" s="20" t="s">
        <v>167</v>
      </c>
      <c r="N59" s="20" t="s">
        <v>168</v>
      </c>
      <c r="T59" s="19">
        <v>58</v>
      </c>
      <c r="U59" s="19" t="s">
        <v>68</v>
      </c>
      <c r="V59" s="19" t="s">
        <v>74</v>
      </c>
      <c r="W59" s="19" t="s">
        <v>195</v>
      </c>
      <c r="Y59" s="19">
        <v>-30</v>
      </c>
    </row>
    <row r="60" spans="1:25" x14ac:dyDescent="0.3">
      <c r="A60" s="19">
        <v>59</v>
      </c>
      <c r="B60" s="19">
        <v>6</v>
      </c>
      <c r="C60" s="19">
        <f t="shared" si="0"/>
        <v>15</v>
      </c>
      <c r="D60" s="19">
        <f t="shared" si="1"/>
        <v>101</v>
      </c>
      <c r="E60" s="19">
        <f t="shared" si="2"/>
        <v>-20</v>
      </c>
      <c r="F60" s="19">
        <f t="shared" si="3"/>
        <v>0</v>
      </c>
      <c r="K60" s="20">
        <v>122</v>
      </c>
      <c r="L60" s="20" t="s">
        <v>169</v>
      </c>
      <c r="M60" s="20" t="s">
        <v>170</v>
      </c>
      <c r="N60" s="20" t="s">
        <v>169</v>
      </c>
      <c r="T60" s="19">
        <v>59</v>
      </c>
      <c r="U60" s="19" t="s">
        <v>70</v>
      </c>
      <c r="V60" s="19" t="s">
        <v>88</v>
      </c>
      <c r="W60" s="19" t="s">
        <v>189</v>
      </c>
      <c r="X60" s="19">
        <v>-20</v>
      </c>
    </row>
    <row r="61" spans="1:25" x14ac:dyDescent="0.3">
      <c r="A61" s="19">
        <v>60</v>
      </c>
      <c r="B61" s="19">
        <v>6</v>
      </c>
      <c r="C61" s="19">
        <f t="shared" si="0"/>
        <v>17</v>
      </c>
      <c r="D61" s="19">
        <f t="shared" si="1"/>
        <v>104</v>
      </c>
      <c r="E61" s="19">
        <f t="shared" si="2"/>
        <v>-30</v>
      </c>
      <c r="F61" s="19">
        <f t="shared" si="3"/>
        <v>0</v>
      </c>
      <c r="K61" s="20">
        <v>123</v>
      </c>
      <c r="L61" s="20" t="s">
        <v>171</v>
      </c>
      <c r="M61" s="20" t="s">
        <v>170</v>
      </c>
      <c r="N61" s="20" t="s">
        <v>172</v>
      </c>
      <c r="T61" s="19">
        <v>60</v>
      </c>
      <c r="U61" s="19" t="s">
        <v>70</v>
      </c>
      <c r="V61" s="19" t="s">
        <v>92</v>
      </c>
      <c r="W61" s="19" t="s">
        <v>188</v>
      </c>
      <c r="X61" s="19">
        <v>-30</v>
      </c>
    </row>
    <row r="62" spans="1:25" x14ac:dyDescent="0.3">
      <c r="A62" s="19">
        <v>61</v>
      </c>
      <c r="B62" s="19">
        <v>7</v>
      </c>
      <c r="C62" s="19">
        <f t="shared" si="0"/>
        <v>5</v>
      </c>
      <c r="D62" s="19">
        <f t="shared" si="1"/>
        <v>110</v>
      </c>
      <c r="E62" s="19">
        <f t="shared" si="2"/>
        <v>0</v>
      </c>
      <c r="F62" s="19">
        <f t="shared" si="3"/>
        <v>-30</v>
      </c>
      <c r="K62" s="20">
        <v>124</v>
      </c>
      <c r="L62" s="20" t="s">
        <v>173</v>
      </c>
      <c r="M62" s="20" t="s">
        <v>145</v>
      </c>
      <c r="N62" s="20" t="s">
        <v>146</v>
      </c>
      <c r="T62" s="19">
        <v>61</v>
      </c>
      <c r="U62" s="19" t="s">
        <v>71</v>
      </c>
      <c r="V62" s="19" t="s">
        <v>69</v>
      </c>
      <c r="W62" s="19" t="s">
        <v>195</v>
      </c>
      <c r="Y62" s="19">
        <v>-30</v>
      </c>
    </row>
    <row r="63" spans="1:25" x14ac:dyDescent="0.3">
      <c r="A63" s="19">
        <v>62</v>
      </c>
      <c r="B63" s="19">
        <v>7</v>
      </c>
      <c r="C63" s="19">
        <f t="shared" si="0"/>
        <v>11</v>
      </c>
      <c r="D63" s="19">
        <f t="shared" si="1"/>
        <v>107</v>
      </c>
      <c r="E63" s="19">
        <f t="shared" si="2"/>
        <v>0</v>
      </c>
      <c r="F63" s="19">
        <f t="shared" si="3"/>
        <v>-30</v>
      </c>
      <c r="K63" s="20">
        <v>125</v>
      </c>
      <c r="L63" s="20" t="s">
        <v>174</v>
      </c>
      <c r="M63" s="20" t="s">
        <v>175</v>
      </c>
      <c r="N63" s="20" t="s">
        <v>176</v>
      </c>
      <c r="T63" s="19">
        <v>62</v>
      </c>
      <c r="U63" s="19" t="s">
        <v>71</v>
      </c>
      <c r="V63" s="19" t="s">
        <v>80</v>
      </c>
      <c r="W63" s="19" t="s">
        <v>192</v>
      </c>
      <c r="Y63" s="19">
        <v>-30</v>
      </c>
    </row>
    <row r="64" spans="1:25" x14ac:dyDescent="0.3">
      <c r="A64" s="19">
        <v>63</v>
      </c>
      <c r="B64" s="19">
        <v>8</v>
      </c>
      <c r="C64" s="19">
        <f t="shared" si="0"/>
        <v>13</v>
      </c>
      <c r="D64" s="19">
        <f t="shared" si="1"/>
        <v>103</v>
      </c>
      <c r="E64" s="19">
        <f t="shared" si="2"/>
        <v>-20</v>
      </c>
      <c r="F64" s="19">
        <f t="shared" si="3"/>
        <v>0</v>
      </c>
      <c r="K64" s="20">
        <v>126</v>
      </c>
      <c r="L64" s="20" t="s">
        <v>177</v>
      </c>
      <c r="M64" s="20" t="s">
        <v>178</v>
      </c>
      <c r="N64" s="20" t="s">
        <v>179</v>
      </c>
      <c r="T64" s="19">
        <v>63</v>
      </c>
      <c r="U64" s="19" t="s">
        <v>73</v>
      </c>
      <c r="V64" s="19" t="s">
        <v>84</v>
      </c>
      <c r="W64" s="19" t="s">
        <v>194</v>
      </c>
      <c r="X64" s="19">
        <v>-20</v>
      </c>
    </row>
    <row r="65" spans="1:25" x14ac:dyDescent="0.3">
      <c r="A65" s="19">
        <v>64</v>
      </c>
      <c r="B65" s="19">
        <v>8</v>
      </c>
      <c r="C65" s="19">
        <f t="shared" si="0"/>
        <v>16</v>
      </c>
      <c r="D65" s="19">
        <f t="shared" si="1"/>
        <v>104</v>
      </c>
      <c r="E65" s="19">
        <f t="shared" si="2"/>
        <v>-30</v>
      </c>
      <c r="F65" s="19">
        <f t="shared" si="3"/>
        <v>0</v>
      </c>
      <c r="K65" s="20">
        <v>127</v>
      </c>
      <c r="L65" s="20" t="s">
        <v>180</v>
      </c>
      <c r="M65" s="20" t="s">
        <v>181</v>
      </c>
      <c r="N65" s="20" t="s">
        <v>182</v>
      </c>
      <c r="T65" s="19">
        <v>64</v>
      </c>
      <c r="U65" s="19" t="s">
        <v>73</v>
      </c>
      <c r="V65" s="19" t="s">
        <v>90</v>
      </c>
      <c r="W65" s="19" t="s">
        <v>188</v>
      </c>
      <c r="X65" s="19">
        <v>-30</v>
      </c>
    </row>
    <row r="66" spans="1:25" x14ac:dyDescent="0.3">
      <c r="A66" s="19">
        <v>65</v>
      </c>
      <c r="B66" s="19">
        <v>9</v>
      </c>
      <c r="C66" s="19">
        <f t="shared" si="0"/>
        <v>19</v>
      </c>
      <c r="D66" s="19">
        <f t="shared" si="1"/>
        <v>109</v>
      </c>
      <c r="E66" s="19">
        <f t="shared" si="2"/>
        <v>-20</v>
      </c>
      <c r="F66" s="19">
        <f t="shared" si="3"/>
        <v>0</v>
      </c>
      <c r="K66" s="20">
        <v>128</v>
      </c>
      <c r="L66" s="20" t="s">
        <v>183</v>
      </c>
      <c r="M66" s="20" t="s">
        <v>181</v>
      </c>
      <c r="N66" s="20" t="s">
        <v>182</v>
      </c>
      <c r="T66" s="19">
        <v>65</v>
      </c>
      <c r="U66" s="19" t="s">
        <v>75</v>
      </c>
      <c r="V66" s="19" t="s">
        <v>96</v>
      </c>
      <c r="W66" s="19" t="s">
        <v>193</v>
      </c>
      <c r="X66" s="19">
        <v>-20</v>
      </c>
    </row>
    <row r="67" spans="1:25" x14ac:dyDescent="0.3">
      <c r="A67" s="19">
        <v>66</v>
      </c>
      <c r="B67" s="19">
        <v>9</v>
      </c>
      <c r="C67" s="19">
        <f t="shared" ref="C67:C97" si="8">INDEX($P$25:$P$48,MATCH(V67,$Q$25:$Q$48,0))</f>
        <v>16</v>
      </c>
      <c r="D67" s="19">
        <f t="shared" ref="D67:D97" si="9">INDEX($K$24:$K$68,MATCH(W67,$L$24:$L$68,0))</f>
        <v>110</v>
      </c>
      <c r="E67" s="19">
        <f t="shared" ref="E67:E97" si="10">X67</f>
        <v>0</v>
      </c>
      <c r="F67" s="19">
        <f t="shared" ref="F67:F97" si="11">Y67</f>
        <v>-30</v>
      </c>
      <c r="K67" s="20">
        <v>129</v>
      </c>
      <c r="L67" s="20" t="s">
        <v>184</v>
      </c>
      <c r="M67" s="20" t="s">
        <v>170</v>
      </c>
      <c r="N67" s="20" t="s">
        <v>179</v>
      </c>
      <c r="T67" s="19">
        <v>66</v>
      </c>
      <c r="U67" s="19" t="s">
        <v>75</v>
      </c>
      <c r="V67" s="19" t="s">
        <v>90</v>
      </c>
      <c r="W67" s="19" t="s">
        <v>195</v>
      </c>
      <c r="Y67" s="19">
        <v>-30</v>
      </c>
    </row>
    <row r="68" spans="1:25" x14ac:dyDescent="0.3">
      <c r="A68" s="19">
        <v>67</v>
      </c>
      <c r="B68" s="19">
        <v>10</v>
      </c>
      <c r="C68" s="19">
        <f t="shared" si="8"/>
        <v>2</v>
      </c>
      <c r="D68" s="19">
        <f t="shared" si="9"/>
        <v>103</v>
      </c>
      <c r="E68" s="19">
        <f t="shared" si="10"/>
        <v>-20</v>
      </c>
      <c r="F68" s="19">
        <f t="shared" si="11"/>
        <v>0</v>
      </c>
      <c r="K68" s="20">
        <v>130</v>
      </c>
      <c r="L68" s="20" t="s">
        <v>185</v>
      </c>
      <c r="M68" s="20" t="s">
        <v>170</v>
      </c>
      <c r="N68" s="20" t="s">
        <v>179</v>
      </c>
      <c r="T68" s="19">
        <v>67</v>
      </c>
      <c r="U68" s="19" t="s">
        <v>77</v>
      </c>
      <c r="V68" s="19" t="s">
        <v>63</v>
      </c>
      <c r="W68" s="19" t="s">
        <v>194</v>
      </c>
      <c r="X68" s="19">
        <v>-20</v>
      </c>
    </row>
    <row r="69" spans="1:25" x14ac:dyDescent="0.3">
      <c r="A69" s="19">
        <v>68</v>
      </c>
      <c r="B69" s="19">
        <v>10</v>
      </c>
      <c r="C69" s="19">
        <f t="shared" si="8"/>
        <v>8</v>
      </c>
      <c r="D69" s="19">
        <f t="shared" si="9"/>
        <v>101</v>
      </c>
      <c r="E69" s="19">
        <f t="shared" si="10"/>
        <v>-20</v>
      </c>
      <c r="F69" s="19">
        <f t="shared" si="11"/>
        <v>0</v>
      </c>
      <c r="T69" s="19">
        <v>68</v>
      </c>
      <c r="U69" s="19" t="s">
        <v>77</v>
      </c>
      <c r="V69" s="19" t="s">
        <v>74</v>
      </c>
      <c r="W69" s="19" t="s">
        <v>189</v>
      </c>
      <c r="X69" s="19">
        <v>-20</v>
      </c>
    </row>
    <row r="70" spans="1:25" x14ac:dyDescent="0.3">
      <c r="A70" s="19">
        <v>69</v>
      </c>
      <c r="B70" s="19">
        <v>11</v>
      </c>
      <c r="C70" s="19">
        <f t="shared" si="8"/>
        <v>4</v>
      </c>
      <c r="D70" s="19">
        <f t="shared" si="9"/>
        <v>108</v>
      </c>
      <c r="E70" s="19">
        <f t="shared" si="10"/>
        <v>0</v>
      </c>
      <c r="F70" s="19">
        <f t="shared" si="11"/>
        <v>-20</v>
      </c>
      <c r="T70" s="19">
        <v>69</v>
      </c>
      <c r="U70" s="19" t="s">
        <v>79</v>
      </c>
      <c r="V70" s="19" t="s">
        <v>67</v>
      </c>
      <c r="W70" s="19" t="s">
        <v>190</v>
      </c>
      <c r="Y70" s="19">
        <v>-20</v>
      </c>
    </row>
    <row r="71" spans="1:25" x14ac:dyDescent="0.3">
      <c r="A71" s="19">
        <v>70</v>
      </c>
      <c r="B71" s="19">
        <v>11</v>
      </c>
      <c r="C71" s="19">
        <f t="shared" si="8"/>
        <v>1</v>
      </c>
      <c r="D71" s="19">
        <f t="shared" si="9"/>
        <v>116</v>
      </c>
      <c r="E71" s="19">
        <f t="shared" si="10"/>
        <v>0</v>
      </c>
      <c r="F71" s="19">
        <f t="shared" si="11"/>
        <v>-30</v>
      </c>
      <c r="T71" s="19">
        <v>70</v>
      </c>
      <c r="U71" s="19" t="s">
        <v>79</v>
      </c>
      <c r="V71" s="19" t="s">
        <v>61</v>
      </c>
      <c r="W71" s="19" t="s">
        <v>196</v>
      </c>
      <c r="Y71" s="19">
        <v>-30</v>
      </c>
    </row>
    <row r="72" spans="1:25" x14ac:dyDescent="0.3">
      <c r="A72" s="19">
        <v>71</v>
      </c>
      <c r="B72" s="19">
        <v>12</v>
      </c>
      <c r="C72" s="19">
        <f t="shared" si="8"/>
        <v>9</v>
      </c>
      <c r="D72" s="19">
        <f t="shared" si="9"/>
        <v>108</v>
      </c>
      <c r="E72" s="19">
        <f t="shared" si="10"/>
        <v>0</v>
      </c>
      <c r="F72" s="19">
        <f t="shared" si="11"/>
        <v>-30</v>
      </c>
      <c r="T72" s="19">
        <v>71</v>
      </c>
      <c r="U72" s="19" t="s">
        <v>81</v>
      </c>
      <c r="V72" s="19" t="s">
        <v>76</v>
      </c>
      <c r="W72" s="19" t="s">
        <v>190</v>
      </c>
      <c r="Y72" s="19">
        <v>-30</v>
      </c>
    </row>
    <row r="73" spans="1:25" x14ac:dyDescent="0.3">
      <c r="A73" s="19">
        <v>72</v>
      </c>
      <c r="B73" s="19">
        <v>12</v>
      </c>
      <c r="C73" s="19">
        <f t="shared" si="8"/>
        <v>24</v>
      </c>
      <c r="D73" s="19">
        <f t="shared" si="9"/>
        <v>102</v>
      </c>
      <c r="E73" s="19">
        <f t="shared" si="10"/>
        <v>-20</v>
      </c>
      <c r="F73" s="19">
        <f t="shared" si="11"/>
        <v>0</v>
      </c>
      <c r="T73" s="19">
        <v>72</v>
      </c>
      <c r="U73" s="19" t="s">
        <v>81</v>
      </c>
      <c r="V73" s="19" t="s">
        <v>106</v>
      </c>
      <c r="W73" s="19" t="s">
        <v>191</v>
      </c>
      <c r="X73" s="19">
        <v>-20</v>
      </c>
    </row>
    <row r="74" spans="1:25" x14ac:dyDescent="0.3">
      <c r="A74" s="19">
        <v>73</v>
      </c>
      <c r="B74" s="19">
        <v>13</v>
      </c>
      <c r="C74" s="19">
        <f t="shared" si="8"/>
        <v>22</v>
      </c>
      <c r="D74" s="19">
        <f t="shared" si="9"/>
        <v>110</v>
      </c>
      <c r="E74" s="19">
        <f t="shared" si="10"/>
        <v>0</v>
      </c>
      <c r="F74" s="19">
        <f t="shared" si="11"/>
        <v>-30</v>
      </c>
      <c r="T74" s="19">
        <v>73</v>
      </c>
      <c r="U74" s="19" t="s">
        <v>83</v>
      </c>
      <c r="V74" s="19" t="s">
        <v>102</v>
      </c>
      <c r="W74" s="19" t="s">
        <v>195</v>
      </c>
      <c r="Y74" s="19">
        <v>-30</v>
      </c>
    </row>
    <row r="75" spans="1:25" x14ac:dyDescent="0.3">
      <c r="A75" s="19">
        <v>74</v>
      </c>
      <c r="B75" s="19">
        <v>13</v>
      </c>
      <c r="C75" s="19">
        <f t="shared" si="8"/>
        <v>2</v>
      </c>
      <c r="D75" s="19">
        <f t="shared" si="9"/>
        <v>104</v>
      </c>
      <c r="E75" s="19">
        <f t="shared" si="10"/>
        <v>-30</v>
      </c>
      <c r="F75" s="19">
        <f t="shared" si="11"/>
        <v>0</v>
      </c>
      <c r="T75" s="19">
        <v>74</v>
      </c>
      <c r="U75" s="19" t="s">
        <v>83</v>
      </c>
      <c r="V75" s="19" t="s">
        <v>63</v>
      </c>
      <c r="W75" s="19" t="s">
        <v>188</v>
      </c>
      <c r="X75" s="19">
        <v>-30</v>
      </c>
    </row>
    <row r="76" spans="1:25" x14ac:dyDescent="0.3">
      <c r="A76" s="19">
        <v>75</v>
      </c>
      <c r="B76" s="19">
        <v>14</v>
      </c>
      <c r="C76" s="19">
        <f t="shared" si="8"/>
        <v>19</v>
      </c>
      <c r="D76" s="19">
        <f t="shared" si="9"/>
        <v>103</v>
      </c>
      <c r="E76" s="19">
        <f t="shared" si="10"/>
        <v>-30</v>
      </c>
      <c r="F76" s="19">
        <f t="shared" si="11"/>
        <v>0</v>
      </c>
      <c r="T76" s="19">
        <v>75</v>
      </c>
      <c r="U76" s="19" t="s">
        <v>85</v>
      </c>
      <c r="V76" s="19" t="s">
        <v>96</v>
      </c>
      <c r="W76" s="19" t="s">
        <v>194</v>
      </c>
      <c r="X76" s="19">
        <v>-30</v>
      </c>
    </row>
    <row r="77" spans="1:25" x14ac:dyDescent="0.3">
      <c r="A77" s="19">
        <v>76</v>
      </c>
      <c r="B77" s="19">
        <v>14</v>
      </c>
      <c r="C77" s="19">
        <f t="shared" si="8"/>
        <v>7</v>
      </c>
      <c r="D77" s="19">
        <f t="shared" si="9"/>
        <v>109</v>
      </c>
      <c r="E77" s="19">
        <f t="shared" si="10"/>
        <v>0</v>
      </c>
      <c r="F77" s="19">
        <f t="shared" si="11"/>
        <v>-20</v>
      </c>
      <c r="T77" s="19">
        <v>76</v>
      </c>
      <c r="U77" s="19" t="s">
        <v>85</v>
      </c>
      <c r="V77" s="19" t="s">
        <v>72</v>
      </c>
      <c r="W77" s="19" t="s">
        <v>193</v>
      </c>
      <c r="Y77" s="19">
        <v>-20</v>
      </c>
    </row>
    <row r="78" spans="1:25" x14ac:dyDescent="0.3">
      <c r="A78" s="19">
        <v>77</v>
      </c>
      <c r="B78" s="19">
        <v>15</v>
      </c>
      <c r="C78" s="19">
        <f t="shared" si="8"/>
        <v>7</v>
      </c>
      <c r="D78" s="19">
        <f t="shared" si="9"/>
        <v>101</v>
      </c>
      <c r="E78" s="19">
        <f t="shared" si="10"/>
        <v>-20</v>
      </c>
      <c r="F78" s="19">
        <f t="shared" si="11"/>
        <v>0</v>
      </c>
      <c r="T78" s="19">
        <v>77</v>
      </c>
      <c r="U78" s="19" t="s">
        <v>87</v>
      </c>
      <c r="V78" s="19" t="s">
        <v>72</v>
      </c>
      <c r="W78" s="19" t="s">
        <v>189</v>
      </c>
      <c r="X78" s="19">
        <v>-20</v>
      </c>
    </row>
    <row r="79" spans="1:25" x14ac:dyDescent="0.3">
      <c r="A79" s="19">
        <v>78</v>
      </c>
      <c r="B79" s="19">
        <v>15</v>
      </c>
      <c r="C79" s="19">
        <f t="shared" si="8"/>
        <v>10</v>
      </c>
      <c r="D79" s="19">
        <f t="shared" si="9"/>
        <v>116</v>
      </c>
      <c r="E79" s="19">
        <f t="shared" si="10"/>
        <v>0</v>
      </c>
      <c r="F79" s="19">
        <f t="shared" si="11"/>
        <v>-30</v>
      </c>
      <c r="T79" s="19">
        <v>78</v>
      </c>
      <c r="U79" s="19" t="s">
        <v>87</v>
      </c>
      <c r="V79" s="19" t="s">
        <v>78</v>
      </c>
      <c r="W79" s="19" t="s">
        <v>196</v>
      </c>
      <c r="Y79" s="19">
        <v>-30</v>
      </c>
    </row>
    <row r="80" spans="1:25" x14ac:dyDescent="0.3">
      <c r="A80" s="19">
        <v>79</v>
      </c>
      <c r="B80" s="19">
        <v>16</v>
      </c>
      <c r="C80" s="19">
        <f t="shared" si="8"/>
        <v>14</v>
      </c>
      <c r="D80" s="19">
        <f t="shared" si="9"/>
        <v>107</v>
      </c>
      <c r="E80" s="19">
        <f t="shared" si="10"/>
        <v>0</v>
      </c>
      <c r="F80" s="19">
        <f t="shared" si="11"/>
        <v>-30</v>
      </c>
      <c r="T80" s="19">
        <v>79</v>
      </c>
      <c r="U80" s="19" t="s">
        <v>89</v>
      </c>
      <c r="V80" s="19" t="s">
        <v>86</v>
      </c>
      <c r="W80" s="19" t="s">
        <v>192</v>
      </c>
      <c r="Y80" s="19">
        <v>-30</v>
      </c>
    </row>
    <row r="81" spans="1:25" x14ac:dyDescent="0.3">
      <c r="A81" s="19">
        <v>80</v>
      </c>
      <c r="B81" s="19">
        <v>16</v>
      </c>
      <c r="C81" s="19">
        <f t="shared" si="8"/>
        <v>9</v>
      </c>
      <c r="D81" s="19">
        <f t="shared" si="9"/>
        <v>108</v>
      </c>
      <c r="E81" s="19">
        <f t="shared" si="10"/>
        <v>0</v>
      </c>
      <c r="F81" s="19">
        <f t="shared" si="11"/>
        <v>-20</v>
      </c>
      <c r="T81" s="19">
        <v>80</v>
      </c>
      <c r="U81" s="19" t="s">
        <v>89</v>
      </c>
      <c r="V81" s="19" t="s">
        <v>76</v>
      </c>
      <c r="W81" s="19" t="s">
        <v>190</v>
      </c>
      <c r="Y81" s="19">
        <v>-20</v>
      </c>
    </row>
    <row r="82" spans="1:25" x14ac:dyDescent="0.3">
      <c r="A82" s="19">
        <v>81</v>
      </c>
      <c r="B82" s="19">
        <v>17</v>
      </c>
      <c r="C82" s="19">
        <f t="shared" si="8"/>
        <v>4</v>
      </c>
      <c r="D82" s="19">
        <f t="shared" si="9"/>
        <v>102</v>
      </c>
      <c r="E82" s="19">
        <f t="shared" si="10"/>
        <v>-20</v>
      </c>
      <c r="F82" s="19">
        <f t="shared" si="11"/>
        <v>0</v>
      </c>
      <c r="T82" s="19">
        <v>81</v>
      </c>
      <c r="U82" s="19" t="s">
        <v>91</v>
      </c>
      <c r="V82" s="19" t="s">
        <v>67</v>
      </c>
      <c r="W82" s="19" t="s">
        <v>191</v>
      </c>
      <c r="X82" s="19">
        <v>-20</v>
      </c>
    </row>
    <row r="83" spans="1:25" x14ac:dyDescent="0.3">
      <c r="A83" s="19">
        <v>82</v>
      </c>
      <c r="B83" s="19">
        <v>17</v>
      </c>
      <c r="C83" s="19">
        <f t="shared" si="8"/>
        <v>18</v>
      </c>
      <c r="D83" s="19">
        <f t="shared" si="9"/>
        <v>104</v>
      </c>
      <c r="E83" s="19">
        <f t="shared" si="10"/>
        <v>-30</v>
      </c>
      <c r="F83" s="19">
        <f t="shared" si="11"/>
        <v>0</v>
      </c>
      <c r="T83" s="19">
        <v>82</v>
      </c>
      <c r="U83" s="19" t="s">
        <v>91</v>
      </c>
      <c r="V83" s="19" t="s">
        <v>94</v>
      </c>
      <c r="W83" s="19" t="s">
        <v>188</v>
      </c>
      <c r="X83" s="19">
        <v>-30</v>
      </c>
    </row>
    <row r="84" spans="1:25" x14ac:dyDescent="0.3">
      <c r="A84" s="19">
        <v>83</v>
      </c>
      <c r="B84" s="19">
        <v>18</v>
      </c>
      <c r="C84" s="19">
        <f t="shared" si="8"/>
        <v>20</v>
      </c>
      <c r="D84" s="19">
        <f t="shared" si="9"/>
        <v>116</v>
      </c>
      <c r="E84" s="19">
        <f t="shared" si="10"/>
        <v>0</v>
      </c>
      <c r="F84" s="19">
        <f t="shared" si="11"/>
        <v>-30</v>
      </c>
      <c r="T84" s="19">
        <v>83</v>
      </c>
      <c r="U84" s="19" t="s">
        <v>93</v>
      </c>
      <c r="V84" s="19" t="s">
        <v>98</v>
      </c>
      <c r="W84" s="19" t="s">
        <v>196</v>
      </c>
      <c r="Y84" s="19">
        <v>-30</v>
      </c>
    </row>
    <row r="85" spans="1:25" x14ac:dyDescent="0.3">
      <c r="A85" s="19">
        <v>84</v>
      </c>
      <c r="B85" s="19">
        <v>18</v>
      </c>
      <c r="C85" s="19">
        <f t="shared" si="8"/>
        <v>24</v>
      </c>
      <c r="D85" s="19">
        <f t="shared" si="9"/>
        <v>110</v>
      </c>
      <c r="E85" s="19">
        <f t="shared" si="10"/>
        <v>0</v>
      </c>
      <c r="F85" s="19">
        <f t="shared" si="11"/>
        <v>-30</v>
      </c>
      <c r="T85" s="19">
        <v>84</v>
      </c>
      <c r="U85" s="19" t="s">
        <v>93</v>
      </c>
      <c r="V85" s="19" t="s">
        <v>106</v>
      </c>
      <c r="W85" s="19" t="s">
        <v>195</v>
      </c>
      <c r="Y85" s="19">
        <v>-30</v>
      </c>
    </row>
    <row r="86" spans="1:25" x14ac:dyDescent="0.3">
      <c r="A86" s="19">
        <v>85</v>
      </c>
      <c r="B86" s="19">
        <v>19</v>
      </c>
      <c r="C86" s="19">
        <f t="shared" si="8"/>
        <v>18</v>
      </c>
      <c r="D86" s="19">
        <f t="shared" si="9"/>
        <v>109</v>
      </c>
      <c r="E86" s="19">
        <f t="shared" si="10"/>
        <v>0</v>
      </c>
      <c r="F86" s="19">
        <f t="shared" si="11"/>
        <v>-20</v>
      </c>
      <c r="T86" s="19">
        <v>85</v>
      </c>
      <c r="U86" s="19" t="s">
        <v>95</v>
      </c>
      <c r="V86" s="19" t="s">
        <v>94</v>
      </c>
      <c r="W86" s="19" t="s">
        <v>193</v>
      </c>
      <c r="Y86" s="19">
        <v>-20</v>
      </c>
    </row>
    <row r="87" spans="1:25" x14ac:dyDescent="0.3">
      <c r="A87" s="19">
        <v>86</v>
      </c>
      <c r="B87" s="19">
        <v>19</v>
      </c>
      <c r="C87" s="19">
        <f t="shared" si="8"/>
        <v>13</v>
      </c>
      <c r="D87" s="19">
        <f t="shared" si="9"/>
        <v>108</v>
      </c>
      <c r="E87" s="19">
        <f t="shared" si="10"/>
        <v>0</v>
      </c>
      <c r="F87" s="19">
        <f t="shared" si="11"/>
        <v>-20</v>
      </c>
      <c r="T87" s="19">
        <v>86</v>
      </c>
      <c r="U87" s="19" t="s">
        <v>95</v>
      </c>
      <c r="V87" s="19" t="s">
        <v>84</v>
      </c>
      <c r="W87" s="19" t="s">
        <v>190</v>
      </c>
      <c r="Y87" s="19">
        <v>-20</v>
      </c>
    </row>
    <row r="88" spans="1:25" x14ac:dyDescent="0.3">
      <c r="A88" s="19">
        <v>87</v>
      </c>
      <c r="B88" s="19">
        <v>20</v>
      </c>
      <c r="C88" s="19">
        <f t="shared" si="8"/>
        <v>23</v>
      </c>
      <c r="D88" s="19">
        <f t="shared" si="9"/>
        <v>103</v>
      </c>
      <c r="E88" s="19">
        <f t="shared" si="10"/>
        <v>-20</v>
      </c>
      <c r="F88" s="19">
        <f t="shared" si="11"/>
        <v>0</v>
      </c>
      <c r="T88" s="19">
        <v>87</v>
      </c>
      <c r="U88" s="19" t="s">
        <v>97</v>
      </c>
      <c r="V88" s="19" t="s">
        <v>104</v>
      </c>
      <c r="W88" s="19" t="s">
        <v>194</v>
      </c>
      <c r="X88" s="19">
        <v>-20</v>
      </c>
    </row>
    <row r="89" spans="1:25" x14ac:dyDescent="0.3">
      <c r="A89" s="19">
        <v>88</v>
      </c>
      <c r="B89" s="19">
        <v>20</v>
      </c>
      <c r="C89" s="19">
        <f t="shared" si="8"/>
        <v>6</v>
      </c>
      <c r="D89" s="19">
        <f t="shared" si="9"/>
        <v>107</v>
      </c>
      <c r="E89" s="19">
        <f t="shared" si="10"/>
        <v>0</v>
      </c>
      <c r="F89" s="19">
        <f t="shared" si="11"/>
        <v>-30</v>
      </c>
      <c r="T89" s="19">
        <v>88</v>
      </c>
      <c r="U89" s="19" t="s">
        <v>97</v>
      </c>
      <c r="V89" s="19" t="s">
        <v>187</v>
      </c>
      <c r="W89" s="19" t="s">
        <v>192</v>
      </c>
      <c r="Y89" s="19">
        <v>-30</v>
      </c>
    </row>
    <row r="90" spans="1:25" x14ac:dyDescent="0.3">
      <c r="A90" s="19">
        <v>89</v>
      </c>
      <c r="B90" s="19">
        <v>21</v>
      </c>
      <c r="C90" s="19">
        <f t="shared" si="8"/>
        <v>10</v>
      </c>
      <c r="D90" s="19">
        <f t="shared" si="9"/>
        <v>102</v>
      </c>
      <c r="E90" s="19">
        <f t="shared" si="10"/>
        <v>-20</v>
      </c>
      <c r="F90" s="19">
        <f t="shared" si="11"/>
        <v>0</v>
      </c>
      <c r="T90" s="19">
        <v>89</v>
      </c>
      <c r="U90" s="19" t="s">
        <v>99</v>
      </c>
      <c r="V90" s="19" t="s">
        <v>78</v>
      </c>
      <c r="W90" s="19" t="s">
        <v>191</v>
      </c>
      <c r="X90" s="19">
        <v>-20</v>
      </c>
    </row>
    <row r="91" spans="1:25" x14ac:dyDescent="0.3">
      <c r="A91" s="19">
        <v>90</v>
      </c>
      <c r="B91" s="19">
        <v>21</v>
      </c>
      <c r="C91" s="19">
        <f t="shared" si="8"/>
        <v>22</v>
      </c>
      <c r="D91" s="19">
        <f t="shared" si="9"/>
        <v>101</v>
      </c>
      <c r="E91" s="19">
        <f t="shared" si="10"/>
        <v>-20</v>
      </c>
      <c r="F91" s="19">
        <f t="shared" si="11"/>
        <v>0</v>
      </c>
      <c r="T91" s="19">
        <v>90</v>
      </c>
      <c r="U91" s="19" t="s">
        <v>99</v>
      </c>
      <c r="V91" s="19" t="s">
        <v>102</v>
      </c>
      <c r="W91" s="19" t="s">
        <v>189</v>
      </c>
      <c r="X91" s="19">
        <v>-20</v>
      </c>
    </row>
    <row r="92" spans="1:25" x14ac:dyDescent="0.3">
      <c r="A92" s="19">
        <v>91</v>
      </c>
      <c r="B92" s="19">
        <v>22</v>
      </c>
      <c r="C92" s="19">
        <f t="shared" si="8"/>
        <v>3</v>
      </c>
      <c r="D92" s="19">
        <f t="shared" si="9"/>
        <v>104</v>
      </c>
      <c r="E92" s="19">
        <f t="shared" si="10"/>
        <v>-30</v>
      </c>
      <c r="F92" s="19">
        <f t="shared" si="11"/>
        <v>0</v>
      </c>
      <c r="T92" s="19">
        <v>91</v>
      </c>
      <c r="U92" s="19" t="s">
        <v>101</v>
      </c>
      <c r="V92" s="19" t="s">
        <v>65</v>
      </c>
      <c r="W92" s="19" t="s">
        <v>188</v>
      </c>
      <c r="X92" s="19">
        <v>-30</v>
      </c>
    </row>
    <row r="93" spans="1:25" x14ac:dyDescent="0.3">
      <c r="A93" s="19">
        <v>92</v>
      </c>
      <c r="B93" s="19">
        <v>22</v>
      </c>
      <c r="C93" s="19">
        <f t="shared" si="8"/>
        <v>21</v>
      </c>
      <c r="D93" s="19">
        <f t="shared" si="9"/>
        <v>116</v>
      </c>
      <c r="E93" s="19">
        <f t="shared" si="10"/>
        <v>0</v>
      </c>
      <c r="F93" s="19">
        <f t="shared" si="11"/>
        <v>-30</v>
      </c>
      <c r="T93" s="19">
        <v>92</v>
      </c>
      <c r="U93" s="19" t="s">
        <v>101</v>
      </c>
      <c r="V93" s="19" t="s">
        <v>100</v>
      </c>
      <c r="W93" s="19" t="s">
        <v>196</v>
      </c>
      <c r="Y93" s="19">
        <v>-30</v>
      </c>
    </row>
    <row r="94" spans="1:25" x14ac:dyDescent="0.3">
      <c r="A94" s="19">
        <v>93</v>
      </c>
      <c r="B94" s="19">
        <v>23</v>
      </c>
      <c r="C94" s="19">
        <f t="shared" si="8"/>
        <v>6</v>
      </c>
      <c r="D94" s="19">
        <f t="shared" si="9"/>
        <v>102</v>
      </c>
      <c r="E94" s="19">
        <f t="shared" si="10"/>
        <v>-20</v>
      </c>
      <c r="F94" s="19">
        <f t="shared" si="11"/>
        <v>0</v>
      </c>
      <c r="T94" s="19">
        <v>93</v>
      </c>
      <c r="U94" s="19" t="s">
        <v>103</v>
      </c>
      <c r="V94" s="19" t="s">
        <v>187</v>
      </c>
      <c r="W94" s="19" t="s">
        <v>191</v>
      </c>
      <c r="X94" s="19">
        <v>-20</v>
      </c>
    </row>
    <row r="95" spans="1:25" x14ac:dyDescent="0.3">
      <c r="A95" s="19">
        <v>94</v>
      </c>
      <c r="B95" s="19">
        <v>23</v>
      </c>
      <c r="C95" s="19">
        <f t="shared" si="8"/>
        <v>5</v>
      </c>
      <c r="D95" s="19">
        <f t="shared" si="9"/>
        <v>109</v>
      </c>
      <c r="E95" s="19">
        <f t="shared" si="10"/>
        <v>-20</v>
      </c>
      <c r="F95" s="19">
        <f t="shared" si="11"/>
        <v>0</v>
      </c>
      <c r="T95" s="19">
        <v>94</v>
      </c>
      <c r="U95" s="19" t="s">
        <v>103</v>
      </c>
      <c r="V95" s="19" t="s">
        <v>69</v>
      </c>
      <c r="W95" s="19" t="s">
        <v>193</v>
      </c>
      <c r="X95" s="19">
        <v>-20</v>
      </c>
    </row>
    <row r="96" spans="1:25" x14ac:dyDescent="0.3">
      <c r="A96" s="19">
        <v>95</v>
      </c>
      <c r="B96" s="19">
        <v>24</v>
      </c>
      <c r="C96" s="19">
        <f t="shared" si="8"/>
        <v>3</v>
      </c>
      <c r="D96" s="19">
        <f t="shared" si="9"/>
        <v>101</v>
      </c>
      <c r="E96" s="19">
        <f t="shared" si="10"/>
        <v>-20</v>
      </c>
      <c r="F96" s="19">
        <f t="shared" si="11"/>
        <v>0</v>
      </c>
      <c r="T96" s="19">
        <v>95</v>
      </c>
      <c r="U96" s="19" t="s">
        <v>105</v>
      </c>
      <c r="V96" s="19" t="s">
        <v>65</v>
      </c>
      <c r="W96" s="19" t="s">
        <v>189</v>
      </c>
      <c r="X96" s="19">
        <v>-20</v>
      </c>
    </row>
    <row r="97" spans="1:24" x14ac:dyDescent="0.3">
      <c r="A97" s="19">
        <v>96</v>
      </c>
      <c r="B97" s="19">
        <v>24</v>
      </c>
      <c r="C97" s="19">
        <f t="shared" si="8"/>
        <v>12</v>
      </c>
      <c r="D97" s="19">
        <f t="shared" si="9"/>
        <v>104</v>
      </c>
      <c r="E97" s="19">
        <f t="shared" si="10"/>
        <v>-30</v>
      </c>
      <c r="F97" s="19">
        <f t="shared" si="11"/>
        <v>0</v>
      </c>
      <c r="T97" s="19">
        <v>96</v>
      </c>
      <c r="U97" s="19" t="s">
        <v>105</v>
      </c>
      <c r="V97" s="19" t="s">
        <v>82</v>
      </c>
      <c r="W97" s="19" t="s">
        <v>188</v>
      </c>
      <c r="X97" s="19">
        <v>-30</v>
      </c>
    </row>
  </sheetData>
  <sortState xmlns:xlrd2="http://schemas.microsoft.com/office/spreadsheetml/2017/richdata2" ref="U2:U49">
    <sortCondition ref="U2:U49"/>
  </sortState>
  <mergeCells count="2">
    <mergeCell ref="K23:N23"/>
    <mergeCell ref="P23:Q2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01.Base_Table</vt:lpstr>
      <vt:lpstr>02.Exp_Table</vt:lpstr>
      <vt:lpstr>15.Velue_Table</vt:lpstr>
      <vt:lpstr>16.Synergy_Table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2024-06-25T02:26:28Z</dcterms:modified>
</cp:coreProperties>
</file>