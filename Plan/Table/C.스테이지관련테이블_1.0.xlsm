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0A6F8D04-9869-4754-93DE-94B90DC4ECAD}" xr6:coauthVersionLast="47" xr6:coauthVersionMax="47" xr10:uidLastSave="{00000000-0000-0000-0000-000000000000}"/>
  <bookViews>
    <workbookView xWindow="-120" yWindow="-120" windowWidth="38640" windowHeight="21240" activeTab="2" xr2:uid="{F7D75391-0BA2-45E4-A254-DDD6E7E036B2}"/>
  </bookViews>
  <sheets>
    <sheet name="07.Stage_Table" sheetId="1" r:id="rId1"/>
    <sheet name="08.Monster_Level_Table" sheetId="3" r:id="rId2"/>
    <sheet name="09.Monster_Table" sheetId="2" r:id="rId3"/>
    <sheet name="10.Monster_Group_Table" sheetId="4" r:id="rId4"/>
    <sheet name="20.Stage_Monste_Lv_Tabl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" i="5"/>
  <c r="E3" i="5"/>
  <c r="S2" i="1" l="1"/>
  <c r="AA3" i="4"/>
  <c r="AA4" i="4"/>
  <c r="AA5" i="4"/>
  <c r="AA6" i="4"/>
  <c r="AA7" i="4"/>
  <c r="AA8" i="4"/>
  <c r="AA2" i="4"/>
</calcChain>
</file>

<file path=xl/sharedStrings.xml><?xml version="1.0" encoding="utf-8"?>
<sst xmlns="http://schemas.openxmlformats.org/spreadsheetml/2006/main" count="537" uniqueCount="351">
  <si>
    <t>id</t>
    <phoneticPr fontId="1" type="noConversion"/>
  </si>
  <si>
    <t>name</t>
    <phoneticPr fontId="1" type="noConversion"/>
  </si>
  <si>
    <t>정수</t>
    <phoneticPr fontId="1" type="noConversion"/>
  </si>
  <si>
    <t>백분율</t>
    <phoneticPr fontId="1" type="noConversion"/>
  </si>
  <si>
    <t>명칭</t>
    <phoneticPr fontId="1" type="noConversion"/>
  </si>
  <si>
    <t>stage_type</t>
    <phoneticPr fontId="1" type="noConversion"/>
  </si>
  <si>
    <t>maps_type</t>
    <phoneticPr fontId="1" type="noConversion"/>
  </si>
  <si>
    <t>max_stage</t>
    <phoneticPr fontId="1" type="noConversion"/>
  </si>
  <si>
    <t>event_maps_group</t>
    <phoneticPr fontId="1" type="noConversion"/>
  </si>
  <si>
    <t>boss_stage_group</t>
    <phoneticPr fontId="1" type="noConversion"/>
  </si>
  <si>
    <t>타입</t>
    <phoneticPr fontId="1" type="noConversion"/>
  </si>
  <si>
    <t>지형 타입</t>
    <phoneticPr fontId="1" type="noConversion"/>
  </si>
  <si>
    <t>인덱스</t>
    <phoneticPr fontId="1" type="noConversion"/>
  </si>
  <si>
    <t>최대 스테이지 수</t>
    <phoneticPr fontId="1" type="noConversion"/>
  </si>
  <si>
    <t>07.Stage_table</t>
    <phoneticPr fontId="1" type="noConversion"/>
  </si>
  <si>
    <t>name</t>
  </si>
  <si>
    <t>id</t>
  </si>
  <si>
    <t>descriton</t>
  </si>
  <si>
    <t>descriton</t>
    <phoneticPr fontId="1" type="noConversion"/>
  </si>
  <si>
    <t>critical</t>
    <phoneticPr fontId="1" type="noConversion"/>
  </si>
  <si>
    <t>max_HP</t>
  </si>
  <si>
    <t>atk</t>
  </si>
  <si>
    <t>armor</t>
  </si>
  <si>
    <t>magic_armor</t>
  </si>
  <si>
    <t>recovery</t>
  </si>
  <si>
    <t>drain</t>
  </si>
  <si>
    <t>critical</t>
  </si>
  <si>
    <t>cri_dmg</t>
  </si>
  <si>
    <t>attack_spead</t>
  </si>
  <si>
    <t>hit</t>
  </si>
  <si>
    <t>avoid</t>
  </si>
  <si>
    <t>attack_range</t>
  </si>
  <si>
    <t>speed</t>
  </si>
  <si>
    <t>damge_plus</t>
  </si>
  <si>
    <t>damge_minus</t>
  </si>
  <si>
    <t>first_stage_type</t>
  </si>
  <si>
    <t>first_stage_type</t>
    <phoneticPr fontId="1" type="noConversion"/>
  </si>
  <si>
    <t>first_stage_monster_group</t>
  </si>
  <si>
    <t>first_stage_monster_group</t>
    <phoneticPr fontId="1" type="noConversion"/>
  </si>
  <si>
    <t>시작 스테이지 고정 여부</t>
    <phoneticPr fontId="1" type="noConversion"/>
  </si>
  <si>
    <t>시작 스테이지 몬스터 그룹</t>
    <phoneticPr fontId="1" type="noConversion"/>
  </si>
  <si>
    <t>고정 X</t>
    <phoneticPr fontId="1" type="noConversion"/>
  </si>
  <si>
    <t>고정 O</t>
    <phoneticPr fontId="1" type="noConversion"/>
  </si>
  <si>
    <t>trait_id_1</t>
  </si>
  <si>
    <t>trait_id_1</t>
    <phoneticPr fontId="1" type="noConversion"/>
  </si>
  <si>
    <t>trait_id_2</t>
  </si>
  <si>
    <t>trait_id_2</t>
    <phoneticPr fontId="1" type="noConversion"/>
  </si>
  <si>
    <t>trait_id_3</t>
  </si>
  <si>
    <t>trait_id_3</t>
    <phoneticPr fontId="1" type="noConversion"/>
  </si>
  <si>
    <t>AOE_range</t>
  </si>
  <si>
    <t>AOE_range</t>
    <phoneticPr fontId="1" type="noConversion"/>
  </si>
  <si>
    <t>고블린</t>
    <phoneticPr fontId="1" type="noConversion"/>
  </si>
  <si>
    <t>아이디</t>
    <phoneticPr fontId="1" type="noConversion"/>
  </si>
  <si>
    <t>언어</t>
    <phoneticPr fontId="1" type="noConversion"/>
  </si>
  <si>
    <t>몬스터 아이디</t>
    <phoneticPr fontId="1" type="noConversion"/>
  </si>
  <si>
    <t>몬스터 이름</t>
    <phoneticPr fontId="1" type="noConversion"/>
  </si>
  <si>
    <t>몬스터 설명</t>
    <phoneticPr fontId="1" type="noConversion"/>
  </si>
  <si>
    <t>몬스터 특성 1</t>
    <phoneticPr fontId="1" type="noConversion"/>
  </si>
  <si>
    <t>자연 회복력 수치</t>
    <phoneticPr fontId="1" type="noConversion"/>
  </si>
  <si>
    <t>흡혈량 수치</t>
    <phoneticPr fontId="1" type="noConversion"/>
  </si>
  <si>
    <t>크리티컬 확률 수치</t>
    <phoneticPr fontId="1" type="noConversion"/>
  </si>
  <si>
    <t>크리티컬 대미지 수치</t>
    <phoneticPr fontId="1" type="noConversion"/>
  </si>
  <si>
    <t>공격 속도 수치</t>
    <phoneticPr fontId="1" type="noConversion"/>
  </si>
  <si>
    <t>명중률 수치</t>
    <phoneticPr fontId="1" type="noConversion"/>
  </si>
  <si>
    <t>회피율 수치</t>
    <phoneticPr fontId="1" type="noConversion"/>
  </si>
  <si>
    <t>공격 사거리 수치</t>
    <phoneticPr fontId="1" type="noConversion"/>
  </si>
  <si>
    <t>이동 속도 수치</t>
    <phoneticPr fontId="1" type="noConversion"/>
  </si>
  <si>
    <t>대미지 증가량 수치</t>
    <phoneticPr fontId="1" type="noConversion"/>
  </si>
  <si>
    <t>피해 감소량 수치</t>
    <phoneticPr fontId="1" type="noConversion"/>
  </si>
  <si>
    <t>item_id_w</t>
  </si>
  <si>
    <t>item_id_w</t>
    <phoneticPr fontId="1" type="noConversion"/>
  </si>
  <si>
    <t>item_id_e</t>
  </si>
  <si>
    <t>item_id_e</t>
    <phoneticPr fontId="1" type="noConversion"/>
  </si>
  <si>
    <t>item_drop_w</t>
  </si>
  <si>
    <t>item_drop_w</t>
    <phoneticPr fontId="1" type="noConversion"/>
  </si>
  <si>
    <t>item_drop_e</t>
  </si>
  <si>
    <t>item_drop_e</t>
    <phoneticPr fontId="1" type="noConversion"/>
  </si>
  <si>
    <t>AOE 공격 범위 수치</t>
    <phoneticPr fontId="1" type="noConversion"/>
  </si>
  <si>
    <t>착용 무기 아이템</t>
    <phoneticPr fontId="1" type="noConversion"/>
  </si>
  <si>
    <t>착용 방어구 아이템</t>
    <phoneticPr fontId="1" type="noConversion"/>
  </si>
  <si>
    <t>무기 아이템 드롭율</t>
    <phoneticPr fontId="1" type="noConversion"/>
  </si>
  <si>
    <t>방어구 아이템 드롭율</t>
    <phoneticPr fontId="1" type="noConversion"/>
  </si>
  <si>
    <t>몬스터 특성 2</t>
  </si>
  <si>
    <t>몬스터 특성 3</t>
  </si>
  <si>
    <t>고블린 검사</t>
    <phoneticPr fontId="1" type="noConversion"/>
  </si>
  <si>
    <t>멍청한' 고블린</t>
    <phoneticPr fontId="1" type="noConversion"/>
  </si>
  <si>
    <t>name_id</t>
    <phoneticPr fontId="1" type="noConversion"/>
  </si>
  <si>
    <t>이름 id</t>
    <phoneticPr fontId="1" type="noConversion"/>
  </si>
  <si>
    <t>무척 말랑한' 고블린</t>
    <phoneticPr fontId="1" type="noConversion"/>
  </si>
  <si>
    <t>기본 고블린 약화 2</t>
  </si>
  <si>
    <t>기본 고블린 약화 3</t>
  </si>
  <si>
    <t>멍청한' 고블린 검사</t>
    <phoneticPr fontId="1" type="noConversion"/>
  </si>
  <si>
    <t>무척 말랑한' 고블린 검사</t>
    <phoneticPr fontId="1" type="noConversion"/>
  </si>
  <si>
    <t>매우 어리석은' 고블린</t>
    <phoneticPr fontId="1" type="noConversion"/>
  </si>
  <si>
    <t>매우 어리석은' 고블린 검사</t>
    <phoneticPr fontId="1" type="noConversion"/>
  </si>
  <si>
    <t>무척 허약한' 고블린</t>
    <phoneticPr fontId="1" type="noConversion"/>
  </si>
  <si>
    <t>기본 고블린 약화 4</t>
  </si>
  <si>
    <t>무척 허약한' 고블린 검사</t>
    <phoneticPr fontId="1" type="noConversion"/>
  </si>
  <si>
    <t>고블린 검사 약화 2</t>
  </si>
  <si>
    <t>고블린 검사 약화 3</t>
  </si>
  <si>
    <t>고블린 검사 약화 4</t>
  </si>
  <si>
    <t>group_id</t>
    <phoneticPr fontId="1" type="noConversion"/>
  </si>
  <si>
    <t>monster_id 1</t>
  </si>
  <si>
    <t>monster_id 1</t>
    <phoneticPr fontId="1" type="noConversion"/>
  </si>
  <si>
    <t>monster_id 2</t>
  </si>
  <si>
    <t>monster_id 3</t>
  </si>
  <si>
    <t>monster_id 4</t>
  </si>
  <si>
    <t>monster_id 5</t>
  </si>
  <si>
    <t>monster_id 6</t>
  </si>
  <si>
    <t>monster_id 7</t>
  </si>
  <si>
    <t>monster_id 8</t>
  </si>
  <si>
    <t>monster_id 9</t>
  </si>
  <si>
    <t>monster_id 10</t>
  </si>
  <si>
    <t>monster_count_1</t>
  </si>
  <si>
    <t>monster_count_1</t>
    <phoneticPr fontId="1" type="noConversion"/>
  </si>
  <si>
    <t>reward</t>
  </si>
  <si>
    <t>reward</t>
    <phoneticPr fontId="1" type="noConversion"/>
  </si>
  <si>
    <t>monster_count_2</t>
  </si>
  <si>
    <t>monster_count_3</t>
  </si>
  <si>
    <t>monster_count_4</t>
  </si>
  <si>
    <t>monster_count_5</t>
  </si>
  <si>
    <t>monster_count_6</t>
  </si>
  <si>
    <t>monster_count_7</t>
  </si>
  <si>
    <t>monster_count_8</t>
  </si>
  <si>
    <t>monster_count_9</t>
  </si>
  <si>
    <t>monster_count_10</t>
  </si>
  <si>
    <t>normal_monster_group, boss_stage_group의 경우 10.Monster_Group_Table 참조</t>
    <phoneticPr fontId="1" type="noConversion"/>
  </si>
  <si>
    <t>event_per</t>
    <phoneticPr fontId="1" type="noConversion"/>
  </si>
  <si>
    <t>몬스터 그룹 아이디</t>
    <phoneticPr fontId="1" type="noConversion"/>
  </si>
  <si>
    <t>1번 등장 몬스터</t>
    <phoneticPr fontId="1" type="noConversion"/>
  </si>
  <si>
    <t>1번 몬스터 수량</t>
    <phoneticPr fontId="1" type="noConversion"/>
  </si>
  <si>
    <t>2번 등장 몬스터</t>
  </si>
  <si>
    <t>2번 몬스터 수량</t>
  </si>
  <si>
    <t>3번 등장 몬스터</t>
  </si>
  <si>
    <t>3번 몬스터 수량</t>
  </si>
  <si>
    <t>4번 등장 몬스터</t>
  </si>
  <si>
    <t>4번 몬스터 수량</t>
  </si>
  <si>
    <t>5번 등장 몬스터</t>
  </si>
  <si>
    <t>5번 몬스터 수량</t>
  </si>
  <si>
    <t>6번 등장 몬스터</t>
  </si>
  <si>
    <t>6번 몬스터 수량</t>
  </si>
  <si>
    <t>7번 등장 몬스터</t>
  </si>
  <si>
    <t>7번 몬스터 수량</t>
  </si>
  <si>
    <t>8번 등장 몬스터</t>
  </si>
  <si>
    <t>8번 몬스터 수량</t>
  </si>
  <si>
    <t>9번 등장 몬스터</t>
  </si>
  <si>
    <t>9번 몬스터 수량</t>
  </si>
  <si>
    <t>10번 등장 몬스터</t>
  </si>
  <si>
    <t>10번 몬스터 수량</t>
  </si>
  <si>
    <t>스테이지 클리어 보상</t>
    <phoneticPr fontId="1" type="noConversion"/>
  </si>
  <si>
    <t>10.Monster_Group_Table</t>
    <phoneticPr fontId="1" type="noConversion"/>
  </si>
  <si>
    <t>stage_lv</t>
  </si>
  <si>
    <t>stage_lv</t>
    <phoneticPr fontId="1" type="noConversion"/>
  </si>
  <si>
    <t>monster_base_stat</t>
  </si>
  <si>
    <t>monster_base_stat</t>
    <phoneticPr fontId="1" type="noConversion"/>
  </si>
  <si>
    <t>08.Monster_Level_Table</t>
    <phoneticPr fontId="1" type="noConversion"/>
  </si>
  <si>
    <t>스테이지 레벨</t>
    <phoneticPr fontId="1" type="noConversion"/>
  </si>
  <si>
    <t>지급되는 베이스 스탯</t>
    <phoneticPr fontId="1" type="noConversion"/>
  </si>
  <si>
    <t>trait_id_4</t>
  </si>
  <si>
    <t>trait_id_5</t>
  </si>
  <si>
    <t>next_stage_lv_count</t>
    <phoneticPr fontId="1" type="noConversion"/>
  </si>
  <si>
    <t>다음 스테이지 까지 필요한 스테이지 수</t>
    <phoneticPr fontId="1" type="noConversion"/>
  </si>
  <si>
    <t>first_stage_monster_type</t>
    <phoneticPr fontId="1" type="noConversion"/>
  </si>
  <si>
    <t>고블린 왕</t>
    <phoneticPr fontId="1" type="noConversion"/>
  </si>
  <si>
    <t>일반 스탯 구분선</t>
    <phoneticPr fontId="1" type="noConversion"/>
  </si>
  <si>
    <t>최대 HP</t>
  </si>
  <si>
    <t>공격력</t>
  </si>
  <si>
    <t>물리 방어력</t>
  </si>
  <si>
    <t>마법 저항력</t>
  </si>
  <si>
    <t>몬스터 수량</t>
    <phoneticPr fontId="1" type="noConversion"/>
  </si>
  <si>
    <t>des_id</t>
    <phoneticPr fontId="1" type="noConversion"/>
  </si>
  <si>
    <t>고블린 척탄병</t>
    <phoneticPr fontId="1" type="noConversion"/>
  </si>
  <si>
    <t>멍청한' 고블린 척탄병</t>
    <phoneticPr fontId="1" type="noConversion"/>
  </si>
  <si>
    <t>매우 어리석은' 고블린 척탄병</t>
    <phoneticPr fontId="1" type="noConversion"/>
  </si>
  <si>
    <t>무척 말랑한' 고블린 척탄병</t>
    <phoneticPr fontId="1" type="noConversion"/>
  </si>
  <si>
    <t>무척 허약한' 고블린 척탄병</t>
    <phoneticPr fontId="1" type="noConversion"/>
  </si>
  <si>
    <t>monster_goblin_name_1</t>
    <phoneticPr fontId="1" type="noConversion"/>
  </si>
  <si>
    <t>monster_goblin_name_2</t>
  </si>
  <si>
    <t>monster_goblin_name_3</t>
  </si>
  <si>
    <t>monster_goblin_name_4</t>
  </si>
  <si>
    <t>monster_goblin_name_5</t>
  </si>
  <si>
    <t>monster_goblin_name_6</t>
  </si>
  <si>
    <t>monster_goblin_name_7</t>
  </si>
  <si>
    <t>monster_goblin_name_8</t>
  </si>
  <si>
    <t>monster_goblin_name_9</t>
  </si>
  <si>
    <t>monster_goblin_name_10</t>
  </si>
  <si>
    <t>monster_goblin_name_11</t>
  </si>
  <si>
    <t>monster_goblin_name_12</t>
  </si>
  <si>
    <t>monster_goblin_name_13</t>
  </si>
  <si>
    <t>monster_goblin_name_14</t>
  </si>
  <si>
    <t>monster_goblin_name_15</t>
  </si>
  <si>
    <t>monster_goblin_name_16</t>
  </si>
  <si>
    <t>monster_goblin_des_1</t>
    <phoneticPr fontId="1" type="noConversion"/>
  </si>
  <si>
    <t>monster_goblin_des_2</t>
  </si>
  <si>
    <t>monster_goblin_des_3</t>
  </si>
  <si>
    <t>monster_goblin_des_4</t>
  </si>
  <si>
    <t>monster_goblin_des_5</t>
  </si>
  <si>
    <t>monster_goblin_des_6</t>
  </si>
  <si>
    <t>monster_goblin_des_7</t>
  </si>
  <si>
    <t>monster_goblin_des_8</t>
  </si>
  <si>
    <t>monster_goblin_des_9</t>
  </si>
  <si>
    <t>monster_goblin_des_10</t>
  </si>
  <si>
    <t>monster_goblin_des_11</t>
  </si>
  <si>
    <t>monster_goblin_des_12</t>
  </si>
  <si>
    <t>monster_goblin_des_13</t>
  </si>
  <si>
    <t>monster_goblin_des_14</t>
  </si>
  <si>
    <t>monster_goblin_des_15</t>
  </si>
  <si>
    <t>monster_goblin_des_16</t>
  </si>
  <si>
    <t>기본형태의 고블린</t>
  </si>
  <si>
    <t>검을 든 고블린</t>
  </si>
  <si>
    <t>폭탄을 든 고블린</t>
  </si>
  <si>
    <t>기본 고블린 약화 1</t>
  </si>
  <si>
    <t>고블린 검사 약화 1</t>
  </si>
  <si>
    <t>고블린 척탄병 약화 1</t>
  </si>
  <si>
    <t>고블린 척탄병 약화 2</t>
  </si>
  <si>
    <t>고블린 척탄병 약화 3</t>
  </si>
  <si>
    <t>고블린 척탄병 약화 4</t>
  </si>
  <si>
    <t>고블린 보스</t>
  </si>
  <si>
    <t>11.Item_table 참조</t>
    <phoneticPr fontId="1" type="noConversion"/>
  </si>
  <si>
    <t>monster_skeleton_name_1</t>
    <phoneticPr fontId="1" type="noConversion"/>
  </si>
  <si>
    <t>monster_skeleton_name_2</t>
  </si>
  <si>
    <t>monster_skeleton_des_1</t>
    <phoneticPr fontId="1" type="noConversion"/>
  </si>
  <si>
    <t>스켈레톤</t>
    <phoneticPr fontId="1" type="noConversion"/>
  </si>
  <si>
    <t>스켈레톤 검사</t>
    <phoneticPr fontId="1" type="noConversion"/>
  </si>
  <si>
    <t>스켈레톤 궁수</t>
    <phoneticPr fontId="1" type="noConversion"/>
  </si>
  <si>
    <t>monster_skeleton_des_2</t>
  </si>
  <si>
    <t>monster_skeleton_name_3</t>
  </si>
  <si>
    <t>monster_skeleton_des_3</t>
  </si>
  <si>
    <t>monster_skeleton_name_4</t>
  </si>
  <si>
    <t>monster_skeleton_des_4</t>
  </si>
  <si>
    <t>monster_skeleton_name_5</t>
  </si>
  <si>
    <t>monster_skeleton_des_5</t>
  </si>
  <si>
    <t>monster_skeleton_name_6</t>
  </si>
  <si>
    <t>monster_skeleton_des_6</t>
  </si>
  <si>
    <t>monster_skeleton_name_7</t>
  </si>
  <si>
    <t>monster_skeleton_des_7</t>
  </si>
  <si>
    <t>monster_skeleton_name_8</t>
  </si>
  <si>
    <t>monster_skeleton_des_8</t>
  </si>
  <si>
    <t>monster_skeleton_name_9</t>
  </si>
  <si>
    <t>monster_skeleton_des_9</t>
  </si>
  <si>
    <t>monster_skeleton_name_10</t>
  </si>
  <si>
    <t>monster_skeleton_des_10</t>
  </si>
  <si>
    <t>monster_skeleton_name_11</t>
  </si>
  <si>
    <t>monster_skeleton_des_11</t>
  </si>
  <si>
    <t>monster_skeleton_name_12</t>
  </si>
  <si>
    <t>monster_skeleton_des_12</t>
  </si>
  <si>
    <t>monster_skeleton_name_13</t>
  </si>
  <si>
    <t>monster_skeleton_des_13</t>
  </si>
  <si>
    <t>monster_skeleton_name_14</t>
  </si>
  <si>
    <t>monster_skeleton_des_14</t>
  </si>
  <si>
    <t>monster_skeleton_name_15</t>
  </si>
  <si>
    <t>monster_skeleton_des_15</t>
  </si>
  <si>
    <t>monster_skeleton_name_16</t>
  </si>
  <si>
    <t>monster_skeleton_des_16</t>
  </si>
  <si>
    <t>스켈레톤 왕</t>
    <phoneticPr fontId="1" type="noConversion"/>
  </si>
  <si>
    <t>스켈레톤 보스</t>
    <phoneticPr fontId="1" type="noConversion"/>
  </si>
  <si>
    <t>기본형태의 스켈레톤</t>
    <phoneticPr fontId="1" type="noConversion"/>
  </si>
  <si>
    <t>검을 든 스켈레톤</t>
    <phoneticPr fontId="1" type="noConversion"/>
  </si>
  <si>
    <t>활을 든 스켈레톤</t>
    <phoneticPr fontId="1" type="noConversion"/>
  </si>
  <si>
    <t>멍청한' 스켈레톤</t>
  </si>
  <si>
    <t>매우 어리석은' 스켈레톤</t>
  </si>
  <si>
    <t>무척 말랑한' 스켈레톤</t>
  </si>
  <si>
    <t>무척 허약한'스켈레톤</t>
  </si>
  <si>
    <t>멍청한' 스켈레톤 검사</t>
  </si>
  <si>
    <t>매우 어리석은' 스켈레톤 검사</t>
  </si>
  <si>
    <t>무척 말랑한' 스켈레톤 검사</t>
  </si>
  <si>
    <t>무척 허약한'스켈레톤 검사</t>
  </si>
  <si>
    <t>멍청한' 스켈레톤 궁수</t>
  </si>
  <si>
    <t>매우 어리석은' 스켈레톤 궁수</t>
  </si>
  <si>
    <t>무척 말랑한' 스켈레톤 궁수</t>
  </si>
  <si>
    <t>무척 허약한'스켈레톤 궁수</t>
  </si>
  <si>
    <t>기본 스켈레톤 강화 1</t>
    <phoneticPr fontId="1" type="noConversion"/>
  </si>
  <si>
    <t>기본 스켈레톤 강화 2</t>
  </si>
  <si>
    <t>기본 스켈레톤 강화 3</t>
  </si>
  <si>
    <t>기본 스켈레톤 강화 4</t>
  </si>
  <si>
    <t>스켈레톤 검사 약화 1</t>
    <phoneticPr fontId="1" type="noConversion"/>
  </si>
  <si>
    <t>스켈레톤 검사 약화 2</t>
  </si>
  <si>
    <t>스켈레톤 검사 약화 3</t>
  </si>
  <si>
    <t>스켈레톤 검사 약화 4</t>
  </si>
  <si>
    <t>스켈레톤 궁수 약화 1</t>
    <phoneticPr fontId="1" type="noConversion"/>
  </si>
  <si>
    <t>스켈레톤 궁수 약화 2</t>
  </si>
  <si>
    <t>스켈레톤 궁수 약화 3</t>
  </si>
  <si>
    <t>스켈레톤 궁수 약화 4</t>
  </si>
  <si>
    <t>normal_monster_group</t>
  </si>
  <si>
    <t>normal_monster_group</t>
    <phoneticPr fontId="1" type="noConversion"/>
  </si>
  <si>
    <t>normal_monster_per</t>
  </si>
  <si>
    <t>normal_monster_per</t>
    <phoneticPr fontId="1" type="noConversion"/>
  </si>
  <si>
    <t>Elite_monster_group</t>
  </si>
  <si>
    <t>Elite_monster_group</t>
    <phoneticPr fontId="1" type="noConversion"/>
  </si>
  <si>
    <t>Elite_monster_per</t>
    <phoneticPr fontId="1" type="noConversion"/>
  </si>
  <si>
    <t>Shop_group</t>
  </si>
  <si>
    <t>Shop_group</t>
    <phoneticPr fontId="1" type="noConversion"/>
  </si>
  <si>
    <t>Shop_per</t>
    <phoneticPr fontId="1" type="noConversion"/>
  </si>
  <si>
    <t>Max_map_line</t>
  </si>
  <si>
    <t>Max_map_line</t>
    <phoneticPr fontId="1" type="noConversion"/>
  </si>
  <si>
    <t>maps_type</t>
  </si>
  <si>
    <t>stage_type</t>
  </si>
  <si>
    <t>max_stage</t>
  </si>
  <si>
    <t>event_maps_group</t>
  </si>
  <si>
    <t>boss_stage_group</t>
  </si>
  <si>
    <t>스테이지 타입</t>
    <phoneticPr fontId="1" type="noConversion"/>
  </si>
  <si>
    <t>같은 행의 최대 스테이지 수</t>
    <phoneticPr fontId="1" type="noConversion"/>
  </si>
  <si>
    <t>▶</t>
    <phoneticPr fontId="1" type="noConversion"/>
  </si>
  <si>
    <t>0일 경우, 제한 없음으로 설정</t>
    <phoneticPr fontId="1" type="noConversion"/>
  </si>
  <si>
    <t>일반 스테이지 등장 몬스터 그룹 키 값</t>
    <phoneticPr fontId="1" type="noConversion"/>
  </si>
  <si>
    <t>엘리트 스테이지 등장 몬스터 그룹 키 값</t>
    <phoneticPr fontId="1" type="noConversion"/>
  </si>
  <si>
    <t>상점 스테이지 그룹 키값</t>
    <phoneticPr fontId="1" type="noConversion"/>
  </si>
  <si>
    <t>이벤트 스테이지 그룹 키값</t>
    <phoneticPr fontId="1" type="noConversion"/>
  </si>
  <si>
    <t>보스 몬스터 그룹 키값</t>
    <phoneticPr fontId="1" type="noConversion"/>
  </si>
  <si>
    <t>Key_id</t>
    <phoneticPr fontId="1" type="noConversion"/>
  </si>
  <si>
    <t>group_id</t>
    <phoneticPr fontId="1" type="noConversion"/>
  </si>
  <si>
    <t>스테이지 타입 구분</t>
    <phoneticPr fontId="1" type="noConversion"/>
  </si>
  <si>
    <t>인덱스</t>
    <phoneticPr fontId="1" type="noConversion"/>
  </si>
  <si>
    <t>스테이지 아이디</t>
    <phoneticPr fontId="1" type="noConversion"/>
  </si>
  <si>
    <t>group_per</t>
    <phoneticPr fontId="1" type="noConversion"/>
  </si>
  <si>
    <t>그룹 내 등장 확률</t>
    <phoneticPr fontId="1" type="noConversion"/>
  </si>
  <si>
    <t>만분율</t>
    <phoneticPr fontId="1" type="noConversion"/>
  </si>
  <si>
    <t>아이디</t>
    <phoneticPr fontId="1" type="noConversion"/>
  </si>
  <si>
    <t>group_per</t>
  </si>
  <si>
    <t>Key_id</t>
  </si>
  <si>
    <t>group_id</t>
  </si>
  <si>
    <t>▶</t>
    <phoneticPr fontId="1" type="noConversion"/>
  </si>
  <si>
    <t>일반/엘리트 스테이지</t>
    <phoneticPr fontId="1" type="noConversion"/>
  </si>
  <si>
    <t>보스 스테이지</t>
    <phoneticPr fontId="1" type="noConversion"/>
  </si>
  <si>
    <t>상점 스테이지</t>
    <phoneticPr fontId="1" type="noConversion"/>
  </si>
  <si>
    <t>이벤트 스테이지</t>
    <phoneticPr fontId="1" type="noConversion"/>
  </si>
  <si>
    <t>stage_type 별 변경되는 파라미터 값</t>
    <phoneticPr fontId="1" type="noConversion"/>
  </si>
  <si>
    <t>상점 ID</t>
    <phoneticPr fontId="1" type="noConversion"/>
  </si>
  <si>
    <t>이벤트 ID</t>
    <phoneticPr fontId="1" type="noConversion"/>
  </si>
  <si>
    <t>일반 스테이지 등장 비율</t>
    <phoneticPr fontId="1" type="noConversion"/>
  </si>
  <si>
    <t>엘리트 스테이지 등장 비율</t>
    <phoneticPr fontId="1" type="noConversion"/>
  </si>
  <si>
    <t>상점 스테이지 등장 비율</t>
    <phoneticPr fontId="1" type="noConversion"/>
  </si>
  <si>
    <t>이벤트 스테이지 등장 비율</t>
    <phoneticPr fontId="1" type="noConversion"/>
  </si>
  <si>
    <t>heal_event_id</t>
  </si>
  <si>
    <t>heal_event_id</t>
    <phoneticPr fontId="1" type="noConversion"/>
  </si>
  <si>
    <t>heal_event_per</t>
  </si>
  <si>
    <t>heal_event_per</t>
    <phoneticPr fontId="1" type="noConversion"/>
  </si>
  <si>
    <t>파티 회복 이벤트 아이디 값</t>
    <phoneticPr fontId="1" type="noConversion"/>
  </si>
  <si>
    <t>파티 회복 이벤트 등장 비율</t>
    <phoneticPr fontId="1" type="noConversion"/>
  </si>
  <si>
    <t>만분율 (비율)</t>
    <phoneticPr fontId="1" type="noConversion"/>
  </si>
  <si>
    <t>Elite_monster_per</t>
    <phoneticPr fontId="1" type="noConversion"/>
  </si>
  <si>
    <t>Shop_per</t>
    <phoneticPr fontId="1" type="noConversion"/>
  </si>
  <si>
    <t>event_per</t>
    <phoneticPr fontId="1" type="noConversion"/>
  </si>
  <si>
    <t>add_gold</t>
  </si>
  <si>
    <t>add_gold</t>
    <phoneticPr fontId="1" type="noConversion"/>
  </si>
  <si>
    <t>monster_lv</t>
  </si>
  <si>
    <t>monster_lv</t>
    <phoneticPr fontId="1" type="noConversion"/>
  </si>
  <si>
    <t>스테이지 층 수</t>
    <phoneticPr fontId="1" type="noConversion"/>
  </si>
  <si>
    <t>몬스터 레벨</t>
    <phoneticPr fontId="1" type="noConversion"/>
  </si>
  <si>
    <t>추가 골드 지급량</t>
    <phoneticPr fontId="1" type="noConversion"/>
  </si>
  <si>
    <t>20.Stage_Monste_Lv_Table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</si>
</sst>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2" fillId="2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3" xfId="0" applyFont="1" applyFill="1" applyBorder="1">
      <alignment vertical="center"/>
    </xf>
    <xf numFmtId="0" fontId="4" fillId="2" borderId="1" xfId="0" quotePrefix="1" applyFont="1" applyFill="1" applyBorder="1">
      <alignment vertical="center"/>
    </xf>
    <xf numFmtId="49" fontId="2" fillId="4" borderId="2" xfId="0" applyNumberFormat="1" applyFont="1" applyFill="1" applyBorder="1">
      <alignment vertical="center"/>
    </xf>
    <xf numFmtId="49" fontId="4" fillId="4" borderId="2" xfId="0" applyNumberFormat="1" applyFont="1" applyFill="1" applyBorder="1">
      <alignment vertical="center"/>
    </xf>
    <xf numFmtId="49" fontId="4" fillId="4" borderId="2" xfId="0" quotePrefix="1" applyNumberFormat="1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6" borderId="0" xfId="0" applyFont="1" applyFill="1">
      <alignment vertical="center"/>
    </xf>
    <xf numFmtId="0" fontId="2" fillId="2" borderId="11" xfId="0" applyFont="1" applyFill="1" applyBorder="1">
      <alignment vertical="center"/>
    </xf>
    <xf numFmtId="0" fontId="4" fillId="2" borderId="1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8</xdr:row>
      <xdr:rowOff>85725</xdr:rowOff>
    </xdr:from>
    <xdr:to>
      <xdr:col>16</xdr:col>
      <xdr:colOff>361950</xdr:colOff>
      <xdr:row>44</xdr:row>
      <xdr:rowOff>57150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152F203-72F6-1BCC-CDF2-7742FA0DC3A4}"/>
            </a:ext>
          </a:extLst>
        </xdr:cNvPr>
        <xdr:cNvSpPr/>
      </xdr:nvSpPr>
      <xdr:spPr>
        <a:xfrm>
          <a:off x="209550" y="1304925"/>
          <a:ext cx="13830300" cy="54578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4000" b="1" kern="1200"/>
            <a:t>폐기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Z21"/>
  <sheetViews>
    <sheetView zoomScaleNormal="100" workbookViewId="0">
      <selection activeCell="C50" sqref="C50"/>
    </sheetView>
  </sheetViews>
  <sheetFormatPr defaultRowHeight="12" x14ac:dyDescent="0.3"/>
  <cols>
    <col min="1" max="1" width="9.5" style="12" bestFit="1" customWidth="1"/>
    <col min="2" max="2" width="12.75" style="10" bestFit="1" customWidth="1"/>
    <col min="3" max="4" width="12.75" style="10" customWidth="1"/>
    <col min="5" max="5" width="13.375" style="10" bestFit="1" customWidth="1"/>
    <col min="6" max="6" width="21.875" style="10" bestFit="1" customWidth="1"/>
    <col min="7" max="8" width="20.625" style="10" bestFit="1" customWidth="1"/>
    <col min="9" max="10" width="20.625" style="10" customWidth="1"/>
    <col min="11" max="12" width="20.625" style="10" bestFit="1" customWidth="1"/>
    <col min="13" max="14" width="20.625" style="10" customWidth="1"/>
    <col min="15" max="15" width="15.625" style="10" bestFit="1" customWidth="1"/>
    <col min="16" max="17" width="15.125" style="10" bestFit="1" customWidth="1"/>
    <col min="18" max="18" width="3.5" style="2" customWidth="1"/>
    <col min="19" max="20" width="9" style="3"/>
    <col min="21" max="21" width="19" style="3" customWidth="1"/>
    <col min="22" max="22" width="31.125" style="3" bestFit="1" customWidth="1"/>
    <col min="23" max="23" width="10.75" style="3" bestFit="1" customWidth="1"/>
    <col min="24" max="24" width="2.125" style="3" customWidth="1"/>
    <col min="25" max="16384" width="9" style="3"/>
  </cols>
  <sheetData>
    <row r="1" spans="1:26" x14ac:dyDescent="0.3">
      <c r="A1" s="11" t="s">
        <v>6</v>
      </c>
      <c r="B1" s="9" t="s">
        <v>5</v>
      </c>
      <c r="C1" s="9" t="s">
        <v>294</v>
      </c>
      <c r="D1" s="9" t="s">
        <v>7</v>
      </c>
      <c r="E1" s="9" t="s">
        <v>36</v>
      </c>
      <c r="F1" s="9" t="s">
        <v>38</v>
      </c>
      <c r="G1" s="9" t="s">
        <v>284</v>
      </c>
      <c r="H1" s="9" t="s">
        <v>286</v>
      </c>
      <c r="I1" s="9" t="s">
        <v>288</v>
      </c>
      <c r="J1" s="9" t="s">
        <v>289</v>
      </c>
      <c r="K1" s="9" t="s">
        <v>291</v>
      </c>
      <c r="L1" s="9" t="s">
        <v>292</v>
      </c>
      <c r="M1" s="9" t="s">
        <v>333</v>
      </c>
      <c r="N1" s="9" t="s">
        <v>335</v>
      </c>
      <c r="O1" s="9" t="s">
        <v>8</v>
      </c>
      <c r="P1" s="9" t="s">
        <v>127</v>
      </c>
      <c r="Q1" s="9" t="s">
        <v>9</v>
      </c>
      <c r="U1" s="29" t="s">
        <v>14</v>
      </c>
      <c r="V1" s="29"/>
      <c r="W1" s="29"/>
    </row>
    <row r="2" spans="1:26" x14ac:dyDescent="0.3">
      <c r="A2" s="12">
        <v>1</v>
      </c>
      <c r="B2" s="10">
        <v>1</v>
      </c>
      <c r="C2" s="10">
        <v>5</v>
      </c>
      <c r="D2" s="10">
        <v>20</v>
      </c>
      <c r="E2" s="10">
        <v>2</v>
      </c>
      <c r="F2" s="10">
        <v>1</v>
      </c>
      <c r="G2" s="10">
        <v>2</v>
      </c>
      <c r="H2" s="10">
        <v>5500</v>
      </c>
      <c r="I2" s="10">
        <v>4</v>
      </c>
      <c r="J2" s="10">
        <v>1500</v>
      </c>
      <c r="K2" s="10">
        <v>6</v>
      </c>
      <c r="L2" s="10">
        <v>500</v>
      </c>
      <c r="M2" s="10">
        <v>99999</v>
      </c>
      <c r="N2" s="10">
        <v>500</v>
      </c>
      <c r="O2" s="10">
        <v>5</v>
      </c>
      <c r="P2" s="10">
        <v>2000</v>
      </c>
      <c r="Q2" s="10">
        <v>3</v>
      </c>
      <c r="S2" s="3">
        <f>SUM(P2+N2+L2+J2+H2)</f>
        <v>10000</v>
      </c>
      <c r="U2" s="4" t="s">
        <v>1</v>
      </c>
      <c r="V2" s="4" t="s">
        <v>4</v>
      </c>
      <c r="W2" s="4" t="s">
        <v>10</v>
      </c>
    </row>
    <row r="3" spans="1:26" x14ac:dyDescent="0.3">
      <c r="U3" s="4" t="s">
        <v>295</v>
      </c>
      <c r="V3" s="4" t="s">
        <v>300</v>
      </c>
      <c r="W3" s="4" t="s">
        <v>12</v>
      </c>
    </row>
    <row r="4" spans="1:26" x14ac:dyDescent="0.3">
      <c r="U4" s="4" t="s">
        <v>296</v>
      </c>
      <c r="V4" s="4" t="s">
        <v>11</v>
      </c>
      <c r="W4" s="4" t="s">
        <v>12</v>
      </c>
    </row>
    <row r="5" spans="1:26" x14ac:dyDescent="0.3">
      <c r="U5" s="4" t="s">
        <v>293</v>
      </c>
      <c r="V5" s="4" t="s">
        <v>301</v>
      </c>
      <c r="W5" s="4" t="s">
        <v>2</v>
      </c>
      <c r="X5" s="3" t="s">
        <v>302</v>
      </c>
      <c r="Y5" s="3" t="s">
        <v>303</v>
      </c>
    </row>
    <row r="6" spans="1:26" x14ac:dyDescent="0.3">
      <c r="U6" s="4" t="s">
        <v>297</v>
      </c>
      <c r="V6" s="4" t="s">
        <v>13</v>
      </c>
      <c r="W6" s="4" t="s">
        <v>2</v>
      </c>
    </row>
    <row r="7" spans="1:26" x14ac:dyDescent="0.3">
      <c r="U7" s="4" t="s">
        <v>35</v>
      </c>
      <c r="V7" s="4" t="s">
        <v>39</v>
      </c>
      <c r="W7" s="4" t="s">
        <v>12</v>
      </c>
      <c r="Y7" s="30" t="s">
        <v>162</v>
      </c>
      <c r="Z7" s="31"/>
    </row>
    <row r="8" spans="1:26" x14ac:dyDescent="0.3">
      <c r="U8" s="4" t="s">
        <v>37</v>
      </c>
      <c r="V8" s="4" t="s">
        <v>40</v>
      </c>
      <c r="W8" s="4" t="s">
        <v>12</v>
      </c>
      <c r="Y8" s="4">
        <v>1</v>
      </c>
      <c r="Z8" s="4" t="s">
        <v>41</v>
      </c>
    </row>
    <row r="9" spans="1:26" x14ac:dyDescent="0.3">
      <c r="U9" s="4" t="s">
        <v>283</v>
      </c>
      <c r="V9" s="4" t="s">
        <v>304</v>
      </c>
      <c r="W9" s="4" t="s">
        <v>12</v>
      </c>
      <c r="Y9" s="4">
        <v>2</v>
      </c>
      <c r="Z9" s="4" t="s">
        <v>42</v>
      </c>
    </row>
    <row r="10" spans="1:26" x14ac:dyDescent="0.3">
      <c r="U10" s="4" t="s">
        <v>285</v>
      </c>
      <c r="V10" s="4" t="s">
        <v>329</v>
      </c>
      <c r="W10" s="4" t="s">
        <v>339</v>
      </c>
    </row>
    <row r="11" spans="1:26" x14ac:dyDescent="0.3">
      <c r="U11" s="4" t="s">
        <v>287</v>
      </c>
      <c r="V11" s="4" t="s">
        <v>305</v>
      </c>
      <c r="W11" s="4" t="s">
        <v>12</v>
      </c>
    </row>
    <row r="12" spans="1:26" x14ac:dyDescent="0.3">
      <c r="U12" s="4" t="s">
        <v>340</v>
      </c>
      <c r="V12" s="4" t="s">
        <v>330</v>
      </c>
      <c r="W12" s="4" t="s">
        <v>339</v>
      </c>
    </row>
    <row r="13" spans="1:26" x14ac:dyDescent="0.3">
      <c r="U13" s="4" t="s">
        <v>290</v>
      </c>
      <c r="V13" s="4" t="s">
        <v>306</v>
      </c>
      <c r="W13" s="4" t="s">
        <v>12</v>
      </c>
    </row>
    <row r="14" spans="1:26" x14ac:dyDescent="0.3">
      <c r="U14" s="4" t="s">
        <v>341</v>
      </c>
      <c r="V14" s="4" t="s">
        <v>331</v>
      </c>
      <c r="W14" s="4" t="s">
        <v>339</v>
      </c>
    </row>
    <row r="15" spans="1:26" x14ac:dyDescent="0.3">
      <c r="U15" s="4" t="s">
        <v>298</v>
      </c>
      <c r="V15" s="4" t="s">
        <v>307</v>
      </c>
      <c r="W15" s="4" t="s">
        <v>12</v>
      </c>
    </row>
    <row r="16" spans="1:26" x14ac:dyDescent="0.3">
      <c r="U16" s="4" t="s">
        <v>342</v>
      </c>
      <c r="V16" s="4" t="s">
        <v>332</v>
      </c>
      <c r="W16" s="4" t="s">
        <v>339</v>
      </c>
    </row>
    <row r="17" spans="21:23" x14ac:dyDescent="0.3">
      <c r="U17" s="4" t="s">
        <v>334</v>
      </c>
      <c r="V17" s="4" t="s">
        <v>337</v>
      </c>
      <c r="W17" s="4" t="s">
        <v>52</v>
      </c>
    </row>
    <row r="18" spans="21:23" x14ac:dyDescent="0.3">
      <c r="U18" s="4" t="s">
        <v>336</v>
      </c>
      <c r="V18" s="4" t="s">
        <v>338</v>
      </c>
      <c r="W18" s="4" t="s">
        <v>339</v>
      </c>
    </row>
    <row r="19" spans="21:23" x14ac:dyDescent="0.3">
      <c r="U19" s="4" t="s">
        <v>299</v>
      </c>
      <c r="V19" s="4" t="s">
        <v>308</v>
      </c>
      <c r="W19" s="4" t="s">
        <v>12</v>
      </c>
    </row>
    <row r="21" spans="21:23" x14ac:dyDescent="0.3">
      <c r="U21" s="15" t="s">
        <v>126</v>
      </c>
    </row>
  </sheetData>
  <mergeCells count="2">
    <mergeCell ref="U1:W1"/>
    <mergeCell ref="Y7:Z7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E175-B6DF-49A6-B5D3-8FB1F955610E}">
  <sheetPr codeName="Sheet3"/>
  <dimension ref="A1:H100"/>
  <sheetViews>
    <sheetView workbookViewId="0">
      <selection activeCell="F5" sqref="F5:H5"/>
    </sheetView>
  </sheetViews>
  <sheetFormatPr defaultRowHeight="12" x14ac:dyDescent="0.3"/>
  <cols>
    <col min="1" max="1" width="9" style="8"/>
    <col min="2" max="2" width="17.5" style="8" bestFit="1" customWidth="1"/>
    <col min="3" max="3" width="17.375" style="5" customWidth="1"/>
    <col min="4" max="4" width="3.375" style="19" customWidth="1"/>
    <col min="5" max="5" width="9" style="8"/>
    <col min="6" max="6" width="15.25" style="8" bestFit="1" customWidth="1"/>
    <col min="7" max="7" width="30" style="8" bestFit="1" customWidth="1"/>
    <col min="8" max="8" width="6" style="8" bestFit="1" customWidth="1"/>
    <col min="9" max="16384" width="9" style="8"/>
  </cols>
  <sheetData>
    <row r="1" spans="1:8" x14ac:dyDescent="0.3">
      <c r="A1" s="1" t="s">
        <v>152</v>
      </c>
      <c r="B1" s="1" t="s">
        <v>154</v>
      </c>
      <c r="C1" s="1" t="s">
        <v>160</v>
      </c>
    </row>
    <row r="2" spans="1:8" x14ac:dyDescent="0.3">
      <c r="A2" s="5">
        <v>1</v>
      </c>
      <c r="B2" s="5">
        <v>8</v>
      </c>
      <c r="C2" s="5">
        <v>2</v>
      </c>
      <c r="F2" s="32" t="s">
        <v>155</v>
      </c>
      <c r="G2" s="32"/>
      <c r="H2" s="32"/>
    </row>
    <row r="3" spans="1:8" x14ac:dyDescent="0.3">
      <c r="A3" s="5">
        <v>2</v>
      </c>
      <c r="B3" s="5">
        <v>10</v>
      </c>
      <c r="C3" s="5">
        <v>2</v>
      </c>
      <c r="F3" s="10" t="s">
        <v>1</v>
      </c>
      <c r="G3" s="10" t="s">
        <v>4</v>
      </c>
      <c r="H3" s="10" t="s">
        <v>10</v>
      </c>
    </row>
    <row r="4" spans="1:8" x14ac:dyDescent="0.3">
      <c r="A4" s="5">
        <v>3</v>
      </c>
      <c r="B4" s="5">
        <v>12</v>
      </c>
      <c r="C4" s="5">
        <v>2</v>
      </c>
      <c r="F4" s="10" t="s">
        <v>151</v>
      </c>
      <c r="G4" s="10" t="s">
        <v>156</v>
      </c>
      <c r="H4" s="10" t="s">
        <v>12</v>
      </c>
    </row>
    <row r="5" spans="1:8" x14ac:dyDescent="0.3">
      <c r="A5" s="5">
        <v>4</v>
      </c>
      <c r="B5" s="5">
        <v>15</v>
      </c>
      <c r="C5" s="5">
        <v>2</v>
      </c>
      <c r="F5" s="10" t="s">
        <v>153</v>
      </c>
      <c r="G5" s="10" t="s">
        <v>157</v>
      </c>
      <c r="H5" s="10" t="s">
        <v>2</v>
      </c>
    </row>
    <row r="6" spans="1:8" x14ac:dyDescent="0.3">
      <c r="A6" s="5">
        <v>5</v>
      </c>
      <c r="B6" s="5">
        <v>18</v>
      </c>
      <c r="C6" s="5">
        <v>2</v>
      </c>
      <c r="F6" s="20" t="s">
        <v>160</v>
      </c>
      <c r="G6" s="20" t="s">
        <v>161</v>
      </c>
      <c r="H6" s="20" t="s">
        <v>2</v>
      </c>
    </row>
    <row r="7" spans="1:8" x14ac:dyDescent="0.3">
      <c r="A7" s="5">
        <v>6</v>
      </c>
      <c r="B7" s="5">
        <v>21</v>
      </c>
      <c r="C7" s="5">
        <v>2</v>
      </c>
    </row>
    <row r="8" spans="1:8" x14ac:dyDescent="0.3">
      <c r="A8" s="5">
        <v>7</v>
      </c>
      <c r="B8" s="5">
        <v>25</v>
      </c>
      <c r="C8" s="5">
        <v>2</v>
      </c>
    </row>
    <row r="9" spans="1:8" x14ac:dyDescent="0.3">
      <c r="A9" s="5">
        <v>8</v>
      </c>
      <c r="B9" s="5">
        <v>29</v>
      </c>
      <c r="C9" s="5">
        <v>2</v>
      </c>
    </row>
    <row r="10" spans="1:8" x14ac:dyDescent="0.3">
      <c r="A10" s="5">
        <v>9</v>
      </c>
      <c r="B10" s="5">
        <v>33</v>
      </c>
      <c r="C10" s="5">
        <v>2</v>
      </c>
    </row>
    <row r="11" spans="1:8" x14ac:dyDescent="0.3">
      <c r="A11" s="5">
        <v>10</v>
      </c>
      <c r="B11" s="5">
        <v>37</v>
      </c>
      <c r="C11" s="5">
        <v>2</v>
      </c>
    </row>
    <row r="12" spans="1:8" x14ac:dyDescent="0.3">
      <c r="A12" s="5">
        <v>11</v>
      </c>
      <c r="B12" s="5">
        <v>41</v>
      </c>
      <c r="C12" s="5">
        <v>2</v>
      </c>
    </row>
    <row r="13" spans="1:8" x14ac:dyDescent="0.3">
      <c r="A13" s="5">
        <v>12</v>
      </c>
      <c r="B13" s="5">
        <v>45</v>
      </c>
      <c r="C13" s="5">
        <v>2</v>
      </c>
    </row>
    <row r="14" spans="1:8" x14ac:dyDescent="0.3">
      <c r="A14" s="5">
        <v>13</v>
      </c>
      <c r="B14" s="5">
        <v>50</v>
      </c>
      <c r="C14" s="5">
        <v>2</v>
      </c>
    </row>
    <row r="15" spans="1:8" x14ac:dyDescent="0.3">
      <c r="A15" s="5">
        <v>14</v>
      </c>
      <c r="B15" s="5">
        <v>55</v>
      </c>
      <c r="C15" s="5">
        <v>2</v>
      </c>
    </row>
    <row r="16" spans="1:8" x14ac:dyDescent="0.3">
      <c r="A16" s="5">
        <v>15</v>
      </c>
      <c r="B16" s="5">
        <v>60</v>
      </c>
      <c r="C16" s="5">
        <v>2</v>
      </c>
    </row>
    <row r="17" spans="1:3" x14ac:dyDescent="0.3">
      <c r="A17" s="5">
        <v>16</v>
      </c>
      <c r="B17" s="5">
        <v>65</v>
      </c>
      <c r="C17" s="5">
        <v>2</v>
      </c>
    </row>
    <row r="18" spans="1:3" x14ac:dyDescent="0.3">
      <c r="A18" s="5">
        <v>17</v>
      </c>
      <c r="B18" s="5">
        <v>70</v>
      </c>
      <c r="C18" s="5">
        <v>2</v>
      </c>
    </row>
    <row r="19" spans="1:3" x14ac:dyDescent="0.3">
      <c r="A19" s="5">
        <v>18</v>
      </c>
      <c r="B19" s="5">
        <v>75</v>
      </c>
      <c r="C19" s="5">
        <v>2</v>
      </c>
    </row>
    <row r="20" spans="1:3" x14ac:dyDescent="0.3">
      <c r="A20" s="5">
        <v>19</v>
      </c>
      <c r="B20" s="5">
        <v>80</v>
      </c>
      <c r="C20" s="5">
        <v>2</v>
      </c>
    </row>
    <row r="21" spans="1:3" x14ac:dyDescent="0.3">
      <c r="A21" s="5">
        <v>20</v>
      </c>
      <c r="B21" s="5">
        <v>85</v>
      </c>
      <c r="C21" s="5">
        <v>2</v>
      </c>
    </row>
    <row r="22" spans="1:3" x14ac:dyDescent="0.3">
      <c r="A22" s="5">
        <v>21</v>
      </c>
      <c r="B22" s="5">
        <v>90</v>
      </c>
      <c r="C22" s="5">
        <v>2</v>
      </c>
    </row>
    <row r="23" spans="1:3" x14ac:dyDescent="0.3">
      <c r="A23" s="5">
        <v>22</v>
      </c>
      <c r="B23" s="5">
        <v>95</v>
      </c>
      <c r="C23" s="5">
        <v>2</v>
      </c>
    </row>
    <row r="24" spans="1:3" x14ac:dyDescent="0.3">
      <c r="A24" s="5">
        <v>23</v>
      </c>
      <c r="B24" s="5">
        <v>100</v>
      </c>
      <c r="C24" s="5">
        <v>2</v>
      </c>
    </row>
    <row r="25" spans="1:3" x14ac:dyDescent="0.3">
      <c r="A25" s="5">
        <v>24</v>
      </c>
      <c r="B25" s="5">
        <v>105</v>
      </c>
      <c r="C25" s="5">
        <v>2</v>
      </c>
    </row>
    <row r="26" spans="1:3" x14ac:dyDescent="0.3">
      <c r="A26" s="5">
        <v>25</v>
      </c>
      <c r="B26" s="5">
        <v>110</v>
      </c>
      <c r="C26" s="5">
        <v>2</v>
      </c>
    </row>
    <row r="27" spans="1:3" x14ac:dyDescent="0.3">
      <c r="A27" s="5">
        <v>26</v>
      </c>
      <c r="B27" s="5">
        <v>115</v>
      </c>
      <c r="C27" s="5">
        <v>2</v>
      </c>
    </row>
    <row r="28" spans="1:3" x14ac:dyDescent="0.3">
      <c r="A28" s="5">
        <v>27</v>
      </c>
      <c r="B28" s="5">
        <v>120</v>
      </c>
      <c r="C28" s="5">
        <v>2</v>
      </c>
    </row>
    <row r="29" spans="1:3" x14ac:dyDescent="0.3">
      <c r="A29" s="5">
        <v>28</v>
      </c>
      <c r="B29" s="5">
        <v>125</v>
      </c>
      <c r="C29" s="5">
        <v>2</v>
      </c>
    </row>
    <row r="30" spans="1:3" x14ac:dyDescent="0.3">
      <c r="A30" s="5">
        <v>29</v>
      </c>
      <c r="B30" s="5">
        <v>130</v>
      </c>
      <c r="C30" s="5">
        <v>2</v>
      </c>
    </row>
    <row r="31" spans="1:3" x14ac:dyDescent="0.3">
      <c r="A31" s="5">
        <v>30</v>
      </c>
      <c r="B31" s="5">
        <v>135</v>
      </c>
      <c r="C31" s="5">
        <v>2</v>
      </c>
    </row>
    <row r="32" spans="1:3" x14ac:dyDescent="0.3">
      <c r="A32" s="5">
        <v>31</v>
      </c>
      <c r="B32" s="5">
        <v>140</v>
      </c>
      <c r="C32" s="5">
        <v>2</v>
      </c>
    </row>
    <row r="33" spans="1:3" x14ac:dyDescent="0.3">
      <c r="A33" s="5">
        <v>32</v>
      </c>
      <c r="B33" s="5">
        <v>145</v>
      </c>
      <c r="C33" s="5">
        <v>2</v>
      </c>
    </row>
    <row r="34" spans="1:3" x14ac:dyDescent="0.3">
      <c r="A34" s="5">
        <v>33</v>
      </c>
      <c r="B34" s="5">
        <v>150</v>
      </c>
      <c r="C34" s="5">
        <v>2</v>
      </c>
    </row>
    <row r="35" spans="1:3" x14ac:dyDescent="0.3">
      <c r="A35" s="5">
        <v>34</v>
      </c>
      <c r="B35" s="5">
        <v>155</v>
      </c>
      <c r="C35" s="5">
        <v>2</v>
      </c>
    </row>
    <row r="36" spans="1:3" x14ac:dyDescent="0.3">
      <c r="A36" s="5">
        <v>35</v>
      </c>
      <c r="B36" s="5">
        <v>160</v>
      </c>
      <c r="C36" s="5">
        <v>2</v>
      </c>
    </row>
    <row r="37" spans="1:3" x14ac:dyDescent="0.3">
      <c r="A37" s="5">
        <v>36</v>
      </c>
      <c r="B37" s="5">
        <v>165</v>
      </c>
      <c r="C37" s="5">
        <v>2</v>
      </c>
    </row>
    <row r="38" spans="1:3" x14ac:dyDescent="0.3">
      <c r="A38" s="5">
        <v>37</v>
      </c>
      <c r="B38" s="5">
        <v>170</v>
      </c>
      <c r="C38" s="5">
        <v>2</v>
      </c>
    </row>
    <row r="39" spans="1:3" x14ac:dyDescent="0.3">
      <c r="A39" s="5">
        <v>38</v>
      </c>
      <c r="B39" s="5">
        <v>175</v>
      </c>
      <c r="C39" s="5">
        <v>2</v>
      </c>
    </row>
    <row r="40" spans="1:3" x14ac:dyDescent="0.3">
      <c r="A40" s="5">
        <v>39</v>
      </c>
      <c r="B40" s="5">
        <v>180</v>
      </c>
      <c r="C40" s="5">
        <v>2</v>
      </c>
    </row>
    <row r="41" spans="1:3" x14ac:dyDescent="0.3">
      <c r="A41" s="5">
        <v>40</v>
      </c>
      <c r="B41" s="5">
        <v>185</v>
      </c>
      <c r="C41" s="5">
        <v>2</v>
      </c>
    </row>
    <row r="42" spans="1:3" x14ac:dyDescent="0.3">
      <c r="A42" s="5">
        <v>41</v>
      </c>
      <c r="B42" s="5">
        <v>190</v>
      </c>
      <c r="C42" s="5">
        <v>2</v>
      </c>
    </row>
    <row r="43" spans="1:3" x14ac:dyDescent="0.3">
      <c r="A43" s="5">
        <v>42</v>
      </c>
      <c r="B43" s="5">
        <v>195</v>
      </c>
      <c r="C43" s="5">
        <v>2</v>
      </c>
    </row>
    <row r="44" spans="1:3" x14ac:dyDescent="0.3">
      <c r="A44" s="5">
        <v>43</v>
      </c>
      <c r="B44" s="5">
        <v>200</v>
      </c>
      <c r="C44" s="5">
        <v>2</v>
      </c>
    </row>
    <row r="45" spans="1:3" x14ac:dyDescent="0.3">
      <c r="A45" s="5">
        <v>44</v>
      </c>
      <c r="B45" s="5">
        <v>205</v>
      </c>
      <c r="C45" s="5">
        <v>2</v>
      </c>
    </row>
    <row r="46" spans="1:3" x14ac:dyDescent="0.3">
      <c r="A46" s="5">
        <v>45</v>
      </c>
      <c r="B46" s="5">
        <v>210</v>
      </c>
      <c r="C46" s="5">
        <v>2</v>
      </c>
    </row>
    <row r="47" spans="1:3" x14ac:dyDescent="0.3">
      <c r="A47" s="5">
        <v>46</v>
      </c>
      <c r="B47" s="5">
        <v>215</v>
      </c>
      <c r="C47" s="5">
        <v>2</v>
      </c>
    </row>
    <row r="48" spans="1:3" x14ac:dyDescent="0.3">
      <c r="A48" s="5">
        <v>47</v>
      </c>
      <c r="B48" s="5">
        <v>220</v>
      </c>
      <c r="C48" s="5">
        <v>2</v>
      </c>
    </row>
    <row r="49" spans="1:3" x14ac:dyDescent="0.3">
      <c r="A49" s="5">
        <v>48</v>
      </c>
      <c r="B49" s="5">
        <v>225</v>
      </c>
      <c r="C49" s="5">
        <v>2</v>
      </c>
    </row>
    <row r="50" spans="1:3" x14ac:dyDescent="0.3">
      <c r="A50" s="5">
        <v>49</v>
      </c>
      <c r="B50" s="5">
        <v>230</v>
      </c>
      <c r="C50" s="5">
        <v>2</v>
      </c>
    </row>
    <row r="51" spans="1:3" x14ac:dyDescent="0.3">
      <c r="A51" s="5">
        <v>50</v>
      </c>
      <c r="B51" s="5">
        <v>235</v>
      </c>
      <c r="C51" s="5">
        <v>2</v>
      </c>
    </row>
    <row r="52" spans="1:3" x14ac:dyDescent="0.3">
      <c r="A52" s="5">
        <v>51</v>
      </c>
      <c r="B52" s="5">
        <v>240</v>
      </c>
      <c r="C52" s="5">
        <v>2</v>
      </c>
    </row>
    <row r="53" spans="1:3" x14ac:dyDescent="0.3">
      <c r="A53" s="5">
        <v>52</v>
      </c>
      <c r="B53" s="5">
        <v>245</v>
      </c>
      <c r="C53" s="5">
        <v>2</v>
      </c>
    </row>
    <row r="54" spans="1:3" x14ac:dyDescent="0.3">
      <c r="A54" s="5">
        <v>53</v>
      </c>
      <c r="B54" s="5">
        <v>250</v>
      </c>
      <c r="C54" s="5">
        <v>2</v>
      </c>
    </row>
    <row r="55" spans="1:3" x14ac:dyDescent="0.3">
      <c r="A55" s="5">
        <v>54</v>
      </c>
      <c r="B55" s="5">
        <v>255</v>
      </c>
      <c r="C55" s="5">
        <v>2</v>
      </c>
    </row>
    <row r="56" spans="1:3" x14ac:dyDescent="0.3">
      <c r="A56" s="5">
        <v>55</v>
      </c>
      <c r="B56" s="5">
        <v>260</v>
      </c>
      <c r="C56" s="5">
        <v>2</v>
      </c>
    </row>
    <row r="57" spans="1:3" x14ac:dyDescent="0.3">
      <c r="A57" s="5">
        <v>56</v>
      </c>
      <c r="B57" s="5">
        <v>265</v>
      </c>
      <c r="C57" s="5">
        <v>2</v>
      </c>
    </row>
    <row r="58" spans="1:3" x14ac:dyDescent="0.3">
      <c r="A58" s="5">
        <v>57</v>
      </c>
      <c r="B58" s="5">
        <v>270</v>
      </c>
      <c r="C58" s="5">
        <v>2</v>
      </c>
    </row>
    <row r="59" spans="1:3" x14ac:dyDescent="0.3">
      <c r="A59" s="5">
        <v>58</v>
      </c>
      <c r="B59" s="5">
        <v>275</v>
      </c>
      <c r="C59" s="5">
        <v>2</v>
      </c>
    </row>
    <row r="60" spans="1:3" x14ac:dyDescent="0.3">
      <c r="A60" s="5">
        <v>59</v>
      </c>
      <c r="B60" s="5">
        <v>280</v>
      </c>
      <c r="C60" s="5">
        <v>2</v>
      </c>
    </row>
    <row r="61" spans="1:3" x14ac:dyDescent="0.3">
      <c r="A61" s="5">
        <v>60</v>
      </c>
      <c r="B61" s="5">
        <v>285</v>
      </c>
      <c r="C61" s="5">
        <v>2</v>
      </c>
    </row>
    <row r="62" spans="1:3" x14ac:dyDescent="0.3">
      <c r="A62" s="5">
        <v>61</v>
      </c>
      <c r="B62" s="5">
        <v>290</v>
      </c>
      <c r="C62" s="5">
        <v>2</v>
      </c>
    </row>
    <row r="63" spans="1:3" x14ac:dyDescent="0.3">
      <c r="A63" s="5">
        <v>62</v>
      </c>
      <c r="B63" s="5">
        <v>295</v>
      </c>
      <c r="C63" s="5">
        <v>2</v>
      </c>
    </row>
    <row r="64" spans="1:3" x14ac:dyDescent="0.3">
      <c r="A64" s="5">
        <v>63</v>
      </c>
      <c r="B64" s="5">
        <v>300</v>
      </c>
      <c r="C64" s="5">
        <v>2</v>
      </c>
    </row>
    <row r="65" spans="1:3" x14ac:dyDescent="0.3">
      <c r="A65" s="5">
        <v>64</v>
      </c>
      <c r="B65" s="5">
        <v>305</v>
      </c>
      <c r="C65" s="5">
        <v>2</v>
      </c>
    </row>
    <row r="66" spans="1:3" x14ac:dyDescent="0.3">
      <c r="A66" s="5">
        <v>65</v>
      </c>
      <c r="B66" s="5">
        <v>310</v>
      </c>
      <c r="C66" s="5">
        <v>2</v>
      </c>
    </row>
    <row r="67" spans="1:3" x14ac:dyDescent="0.3">
      <c r="A67" s="5">
        <v>66</v>
      </c>
      <c r="B67" s="5">
        <v>315</v>
      </c>
      <c r="C67" s="5">
        <v>2</v>
      </c>
    </row>
    <row r="68" spans="1:3" x14ac:dyDescent="0.3">
      <c r="A68" s="5">
        <v>67</v>
      </c>
      <c r="B68" s="5">
        <v>320</v>
      </c>
      <c r="C68" s="5">
        <v>2</v>
      </c>
    </row>
    <row r="69" spans="1:3" x14ac:dyDescent="0.3">
      <c r="A69" s="5">
        <v>68</v>
      </c>
      <c r="B69" s="5">
        <v>325</v>
      </c>
      <c r="C69" s="5">
        <v>2</v>
      </c>
    </row>
    <row r="70" spans="1:3" x14ac:dyDescent="0.3">
      <c r="A70" s="5">
        <v>69</v>
      </c>
      <c r="B70" s="5">
        <v>330</v>
      </c>
      <c r="C70" s="5">
        <v>2</v>
      </c>
    </row>
    <row r="71" spans="1:3" x14ac:dyDescent="0.3">
      <c r="A71" s="5">
        <v>70</v>
      </c>
      <c r="B71" s="5">
        <v>335</v>
      </c>
      <c r="C71" s="5">
        <v>2</v>
      </c>
    </row>
    <row r="72" spans="1:3" x14ac:dyDescent="0.3">
      <c r="A72" s="5">
        <v>71</v>
      </c>
      <c r="B72" s="5">
        <v>340</v>
      </c>
      <c r="C72" s="5">
        <v>2</v>
      </c>
    </row>
    <row r="73" spans="1:3" x14ac:dyDescent="0.3">
      <c r="A73" s="5">
        <v>72</v>
      </c>
      <c r="B73" s="5">
        <v>345</v>
      </c>
      <c r="C73" s="5">
        <v>2</v>
      </c>
    </row>
    <row r="74" spans="1:3" x14ac:dyDescent="0.3">
      <c r="A74" s="5">
        <v>73</v>
      </c>
      <c r="B74" s="5">
        <v>350</v>
      </c>
      <c r="C74" s="5">
        <v>2</v>
      </c>
    </row>
    <row r="75" spans="1:3" x14ac:dyDescent="0.3">
      <c r="A75" s="5">
        <v>74</v>
      </c>
      <c r="B75" s="5">
        <v>355</v>
      </c>
      <c r="C75" s="5">
        <v>2</v>
      </c>
    </row>
    <row r="76" spans="1:3" x14ac:dyDescent="0.3">
      <c r="A76" s="5">
        <v>75</v>
      </c>
      <c r="B76" s="5">
        <v>360</v>
      </c>
      <c r="C76" s="5">
        <v>2</v>
      </c>
    </row>
    <row r="77" spans="1:3" x14ac:dyDescent="0.3">
      <c r="A77" s="5">
        <v>76</v>
      </c>
      <c r="B77" s="5">
        <v>365</v>
      </c>
      <c r="C77" s="5">
        <v>2</v>
      </c>
    </row>
    <row r="78" spans="1:3" x14ac:dyDescent="0.3">
      <c r="A78" s="5">
        <v>77</v>
      </c>
      <c r="B78" s="5">
        <v>370</v>
      </c>
      <c r="C78" s="5">
        <v>2</v>
      </c>
    </row>
    <row r="79" spans="1:3" x14ac:dyDescent="0.3">
      <c r="A79" s="5">
        <v>78</v>
      </c>
      <c r="B79" s="5">
        <v>375</v>
      </c>
      <c r="C79" s="5">
        <v>2</v>
      </c>
    </row>
    <row r="80" spans="1:3" x14ac:dyDescent="0.3">
      <c r="A80" s="5">
        <v>79</v>
      </c>
      <c r="B80" s="5">
        <v>380</v>
      </c>
      <c r="C80" s="5">
        <v>2</v>
      </c>
    </row>
    <row r="81" spans="1:3" x14ac:dyDescent="0.3">
      <c r="A81" s="5">
        <v>80</v>
      </c>
      <c r="B81" s="5">
        <v>385</v>
      </c>
      <c r="C81" s="5">
        <v>2</v>
      </c>
    </row>
    <row r="82" spans="1:3" x14ac:dyDescent="0.3">
      <c r="A82" s="5">
        <v>81</v>
      </c>
      <c r="B82" s="5">
        <v>390</v>
      </c>
      <c r="C82" s="5">
        <v>2</v>
      </c>
    </row>
    <row r="83" spans="1:3" x14ac:dyDescent="0.3">
      <c r="A83" s="5">
        <v>82</v>
      </c>
      <c r="B83" s="5">
        <v>395</v>
      </c>
      <c r="C83" s="5">
        <v>2</v>
      </c>
    </row>
    <row r="84" spans="1:3" x14ac:dyDescent="0.3">
      <c r="A84" s="5">
        <v>83</v>
      </c>
      <c r="B84" s="5">
        <v>400</v>
      </c>
      <c r="C84" s="5">
        <v>2</v>
      </c>
    </row>
    <row r="85" spans="1:3" x14ac:dyDescent="0.3">
      <c r="A85" s="5">
        <v>84</v>
      </c>
      <c r="B85" s="5">
        <v>405</v>
      </c>
      <c r="C85" s="5">
        <v>2</v>
      </c>
    </row>
    <row r="86" spans="1:3" x14ac:dyDescent="0.3">
      <c r="A86" s="5">
        <v>85</v>
      </c>
      <c r="B86" s="5">
        <v>410</v>
      </c>
      <c r="C86" s="5">
        <v>2</v>
      </c>
    </row>
    <row r="87" spans="1:3" x14ac:dyDescent="0.3">
      <c r="A87" s="5">
        <v>86</v>
      </c>
      <c r="B87" s="5">
        <v>415</v>
      </c>
      <c r="C87" s="5">
        <v>2</v>
      </c>
    </row>
    <row r="88" spans="1:3" x14ac:dyDescent="0.3">
      <c r="A88" s="5">
        <v>87</v>
      </c>
      <c r="B88" s="5">
        <v>420</v>
      </c>
      <c r="C88" s="5">
        <v>2</v>
      </c>
    </row>
    <row r="89" spans="1:3" x14ac:dyDescent="0.3">
      <c r="A89" s="5">
        <v>88</v>
      </c>
      <c r="B89" s="5">
        <v>425</v>
      </c>
      <c r="C89" s="5">
        <v>2</v>
      </c>
    </row>
    <row r="90" spans="1:3" x14ac:dyDescent="0.3">
      <c r="A90" s="5">
        <v>89</v>
      </c>
      <c r="B90" s="5">
        <v>430</v>
      </c>
      <c r="C90" s="5">
        <v>2</v>
      </c>
    </row>
    <row r="91" spans="1:3" x14ac:dyDescent="0.3">
      <c r="A91" s="5">
        <v>90</v>
      </c>
      <c r="B91" s="5">
        <v>435</v>
      </c>
      <c r="C91" s="5">
        <v>2</v>
      </c>
    </row>
    <row r="92" spans="1:3" x14ac:dyDescent="0.3">
      <c r="A92" s="5">
        <v>91</v>
      </c>
      <c r="B92" s="5">
        <v>440</v>
      </c>
      <c r="C92" s="5">
        <v>2</v>
      </c>
    </row>
    <row r="93" spans="1:3" x14ac:dyDescent="0.3">
      <c r="A93" s="5">
        <v>92</v>
      </c>
      <c r="B93" s="5">
        <v>445</v>
      </c>
      <c r="C93" s="5">
        <v>2</v>
      </c>
    </row>
    <row r="94" spans="1:3" x14ac:dyDescent="0.3">
      <c r="A94" s="5">
        <v>93</v>
      </c>
      <c r="B94" s="5">
        <v>450</v>
      </c>
      <c r="C94" s="5">
        <v>2</v>
      </c>
    </row>
    <row r="95" spans="1:3" x14ac:dyDescent="0.3">
      <c r="A95" s="5">
        <v>94</v>
      </c>
      <c r="B95" s="5">
        <v>455</v>
      </c>
      <c r="C95" s="5">
        <v>2</v>
      </c>
    </row>
    <row r="96" spans="1:3" x14ac:dyDescent="0.3">
      <c r="A96" s="5">
        <v>95</v>
      </c>
      <c r="B96" s="5">
        <v>460</v>
      </c>
      <c r="C96" s="5">
        <v>2</v>
      </c>
    </row>
    <row r="97" spans="1:3" x14ac:dyDescent="0.3">
      <c r="A97" s="5">
        <v>96</v>
      </c>
      <c r="B97" s="5">
        <v>465</v>
      </c>
      <c r="C97" s="5">
        <v>2</v>
      </c>
    </row>
    <row r="98" spans="1:3" x14ac:dyDescent="0.3">
      <c r="A98" s="5">
        <v>97</v>
      </c>
      <c r="B98" s="5">
        <v>470</v>
      </c>
      <c r="C98" s="5">
        <v>2</v>
      </c>
    </row>
    <row r="99" spans="1:3" x14ac:dyDescent="0.3">
      <c r="A99" s="5">
        <v>98</v>
      </c>
      <c r="B99" s="5">
        <v>475</v>
      </c>
      <c r="C99" s="5">
        <v>2</v>
      </c>
    </row>
    <row r="100" spans="1:3" x14ac:dyDescent="0.3">
      <c r="A100" s="5">
        <v>99</v>
      </c>
      <c r="B100" s="5">
        <v>480</v>
      </c>
      <c r="C100" s="5">
        <v>999</v>
      </c>
    </row>
  </sheetData>
  <mergeCells count="1">
    <mergeCell ref="F2:H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J41"/>
  <sheetViews>
    <sheetView tabSelected="1" topLeftCell="J1" zoomScale="115" zoomScaleNormal="115" workbookViewId="0">
      <selection activeCell="AE28" sqref="AE28"/>
    </sheetView>
  </sheetViews>
  <sheetFormatPr defaultRowHeight="12" x14ac:dyDescent="0.3"/>
  <cols>
    <col min="1" max="1" width="3.25" style="5" bestFit="1" customWidth="1"/>
    <col min="2" max="2" width="20" style="6" bestFit="1" customWidth="1"/>
    <col min="3" max="3" width="18.375" style="6" bestFit="1" customWidth="1"/>
    <col min="4" max="4" width="21" style="23" bestFit="1" customWidth="1"/>
    <col min="5" max="5" width="14.875" style="5" bestFit="1" customWidth="1"/>
    <col min="6" max="6" width="8.125" style="5" bestFit="1" customWidth="1"/>
    <col min="7" max="7" width="8.125" style="6" bestFit="1" customWidth="1"/>
    <col min="8" max="8" width="8.125" style="5" bestFit="1" customWidth="1"/>
    <col min="9" max="10" width="8.125" style="5" customWidth="1"/>
    <col min="11" max="11" width="8.625" style="5" bestFit="1" customWidth="1"/>
    <col min="12" max="12" width="8.25" style="5" bestFit="1" customWidth="1"/>
    <col min="13" max="13" width="10.875" style="5" bestFit="1" customWidth="1"/>
    <col min="14" max="14" width="10.375" style="5" bestFit="1" customWidth="1"/>
    <col min="15" max="15" width="7.125" style="5" bestFit="1" customWidth="1"/>
    <col min="16" max="16" width="5" style="6" bestFit="1" customWidth="1"/>
    <col min="17" max="17" width="5.875" style="5" bestFit="1" customWidth="1"/>
    <col min="18" max="18" width="11" style="5" bestFit="1" customWidth="1"/>
    <col min="19" max="19" width="13.375" style="14" bestFit="1" customWidth="1"/>
    <col min="20" max="20" width="7.625" style="5" bestFit="1" customWidth="1"/>
    <col min="21" max="21" width="5.25" style="5" bestFit="1" customWidth="1"/>
    <col min="22" max="22" width="6.25" style="5" bestFit="1" customWidth="1"/>
    <col min="23" max="23" width="7.25" style="5" bestFit="1" customWidth="1"/>
    <col min="24" max="24" width="11.375" style="5" bestFit="1" customWidth="1"/>
    <col min="25" max="25" width="3.375" style="5" bestFit="1" customWidth="1"/>
    <col min="26" max="26" width="5.375" style="5" bestFit="1" customWidth="1"/>
    <col min="27" max="27" width="11.125" style="5" bestFit="1" customWidth="1"/>
    <col min="28" max="28" width="6" style="5" bestFit="1" customWidth="1"/>
    <col min="29" max="29" width="10.25" style="5" bestFit="1" customWidth="1"/>
    <col min="30" max="30" width="11.625" style="6" bestFit="1" customWidth="1"/>
    <col min="31" max="31" width="9.25" style="5" bestFit="1" customWidth="1"/>
    <col min="32" max="32" width="2.625" style="7" customWidth="1"/>
    <col min="33" max="33" width="9" style="8"/>
    <col min="34" max="34" width="19.875" style="8" bestFit="1" customWidth="1"/>
    <col min="35" max="35" width="26" style="8" bestFit="1" customWidth="1"/>
    <col min="36" max="36" width="24.5" style="8" customWidth="1"/>
    <col min="37" max="37" width="30" style="8" bestFit="1" customWidth="1"/>
    <col min="38" max="16384" width="9" style="8"/>
  </cols>
  <sheetData>
    <row r="1" spans="1:36" s="15" customFormat="1" x14ac:dyDescent="0.3">
      <c r="A1" s="1" t="s">
        <v>0</v>
      </c>
      <c r="B1" s="13" t="s">
        <v>86</v>
      </c>
      <c r="C1" s="13" t="s">
        <v>170</v>
      </c>
      <c r="D1" s="22" t="s">
        <v>1</v>
      </c>
      <c r="E1" s="1" t="s">
        <v>18</v>
      </c>
      <c r="F1" s="1" t="s">
        <v>44</v>
      </c>
      <c r="G1" s="1" t="s">
        <v>46</v>
      </c>
      <c r="H1" s="1" t="s">
        <v>48</v>
      </c>
      <c r="I1" s="1" t="s">
        <v>158</v>
      </c>
      <c r="J1" s="1" t="s">
        <v>159</v>
      </c>
      <c r="K1" s="1" t="s">
        <v>70</v>
      </c>
      <c r="L1" s="1" t="s">
        <v>72</v>
      </c>
      <c r="M1" s="1" t="s">
        <v>74</v>
      </c>
      <c r="N1" s="1" t="s">
        <v>76</v>
      </c>
      <c r="O1" s="1" t="s">
        <v>20</v>
      </c>
      <c r="P1" s="13" t="s">
        <v>21</v>
      </c>
      <c r="Q1" s="1" t="s">
        <v>22</v>
      </c>
      <c r="R1" s="1" t="s">
        <v>23</v>
      </c>
      <c r="S1" s="16" t="s">
        <v>164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3" t="s">
        <v>34</v>
      </c>
      <c r="AE1" s="1" t="s">
        <v>50</v>
      </c>
      <c r="AF1" s="17"/>
    </row>
    <row r="2" spans="1:36" x14ac:dyDescent="0.3">
      <c r="A2" s="5">
        <v>1</v>
      </c>
      <c r="B2" s="6" t="s">
        <v>176</v>
      </c>
      <c r="C2" s="6" t="s">
        <v>192</v>
      </c>
      <c r="D2" s="23" t="s">
        <v>51</v>
      </c>
      <c r="E2" s="5" t="s">
        <v>208</v>
      </c>
      <c r="F2" s="5">
        <v>0</v>
      </c>
      <c r="G2" s="6">
        <v>0</v>
      </c>
      <c r="H2" s="5">
        <v>0</v>
      </c>
      <c r="I2" s="5">
        <v>0</v>
      </c>
      <c r="J2" s="5">
        <v>0</v>
      </c>
      <c r="K2" s="5">
        <v>11041</v>
      </c>
      <c r="L2" s="5">
        <v>12022</v>
      </c>
      <c r="M2" s="5">
        <v>5</v>
      </c>
      <c r="N2" s="5">
        <v>5</v>
      </c>
      <c r="O2" s="5">
        <v>90</v>
      </c>
      <c r="P2" s="6">
        <v>10</v>
      </c>
      <c r="Q2" s="5">
        <v>0</v>
      </c>
      <c r="R2" s="5">
        <v>0</v>
      </c>
      <c r="T2" s="5">
        <v>0</v>
      </c>
      <c r="U2" s="5">
        <v>0</v>
      </c>
      <c r="V2" s="5">
        <v>5</v>
      </c>
      <c r="W2" s="5">
        <v>120</v>
      </c>
      <c r="X2" s="5">
        <v>100</v>
      </c>
      <c r="Y2" s="5">
        <v>1</v>
      </c>
      <c r="Z2" s="5">
        <v>1</v>
      </c>
      <c r="AA2" s="5">
        <v>80</v>
      </c>
      <c r="AB2" s="5">
        <v>110</v>
      </c>
      <c r="AC2" s="5">
        <v>0</v>
      </c>
      <c r="AD2" s="6">
        <v>0</v>
      </c>
      <c r="AE2" s="5">
        <v>0</v>
      </c>
      <c r="AH2" s="29" t="s">
        <v>14</v>
      </c>
      <c r="AI2" s="29"/>
      <c r="AJ2" s="29"/>
    </row>
    <row r="3" spans="1:36" x14ac:dyDescent="0.3">
      <c r="A3" s="5">
        <v>2</v>
      </c>
      <c r="B3" s="6" t="s">
        <v>177</v>
      </c>
      <c r="C3" s="6" t="s">
        <v>193</v>
      </c>
      <c r="D3" s="23" t="s">
        <v>84</v>
      </c>
      <c r="E3" s="5" t="s">
        <v>209</v>
      </c>
      <c r="F3" s="5">
        <v>0</v>
      </c>
      <c r="G3" s="6">
        <v>0</v>
      </c>
      <c r="H3" s="5">
        <v>0</v>
      </c>
      <c r="I3" s="5">
        <v>0</v>
      </c>
      <c r="J3" s="5">
        <v>0</v>
      </c>
      <c r="K3" s="5">
        <v>11042</v>
      </c>
      <c r="L3" s="5">
        <v>12022</v>
      </c>
      <c r="M3" s="5">
        <v>5</v>
      </c>
      <c r="N3" s="5">
        <v>5</v>
      </c>
      <c r="O3" s="5">
        <v>100</v>
      </c>
      <c r="P3" s="5">
        <v>11</v>
      </c>
      <c r="Q3" s="5">
        <v>0</v>
      </c>
      <c r="R3" s="5">
        <v>0</v>
      </c>
      <c r="T3" s="5">
        <v>0</v>
      </c>
      <c r="U3" s="5">
        <v>0</v>
      </c>
      <c r="V3" s="5">
        <v>10</v>
      </c>
      <c r="W3" s="5">
        <v>125</v>
      </c>
      <c r="X3" s="5">
        <v>100</v>
      </c>
      <c r="Y3" s="5">
        <v>1</v>
      </c>
      <c r="Z3" s="5">
        <v>1</v>
      </c>
      <c r="AA3" s="5">
        <v>80</v>
      </c>
      <c r="AB3" s="5">
        <v>110</v>
      </c>
      <c r="AC3" s="5">
        <v>0</v>
      </c>
      <c r="AD3" s="6">
        <v>0</v>
      </c>
      <c r="AE3" s="5">
        <v>0</v>
      </c>
      <c r="AH3" s="4" t="s">
        <v>1</v>
      </c>
      <c r="AI3" s="4" t="s">
        <v>4</v>
      </c>
      <c r="AJ3" s="4" t="s">
        <v>10</v>
      </c>
    </row>
    <row r="4" spans="1:36" x14ac:dyDescent="0.3">
      <c r="A4" s="5">
        <v>3</v>
      </c>
      <c r="B4" s="6" t="s">
        <v>178</v>
      </c>
      <c r="C4" s="6" t="s">
        <v>194</v>
      </c>
      <c r="D4" s="23" t="s">
        <v>171</v>
      </c>
      <c r="E4" s="5" t="s">
        <v>210</v>
      </c>
      <c r="F4" s="5">
        <v>0</v>
      </c>
      <c r="G4" s="6">
        <v>0</v>
      </c>
      <c r="H4" s="5">
        <v>0</v>
      </c>
      <c r="I4" s="5">
        <v>0</v>
      </c>
      <c r="J4" s="5">
        <v>0</v>
      </c>
      <c r="K4" s="5">
        <v>11043</v>
      </c>
      <c r="L4" s="5">
        <v>12022</v>
      </c>
      <c r="M4" s="5">
        <v>0</v>
      </c>
      <c r="N4" s="5">
        <v>5</v>
      </c>
      <c r="O4" s="5">
        <v>70</v>
      </c>
      <c r="P4" s="6">
        <v>10</v>
      </c>
      <c r="Q4" s="5">
        <v>0</v>
      </c>
      <c r="R4" s="5">
        <v>0</v>
      </c>
      <c r="T4" s="5">
        <v>0</v>
      </c>
      <c r="U4" s="5">
        <v>0</v>
      </c>
      <c r="V4" s="5">
        <v>5</v>
      </c>
      <c r="W4" s="5">
        <v>120</v>
      </c>
      <c r="X4" s="5">
        <v>75</v>
      </c>
      <c r="Y4" s="5">
        <v>1</v>
      </c>
      <c r="Z4" s="5">
        <v>1</v>
      </c>
      <c r="AA4" s="5">
        <v>240</v>
      </c>
      <c r="AB4" s="5">
        <v>110</v>
      </c>
      <c r="AC4" s="5">
        <v>0</v>
      </c>
      <c r="AD4" s="6">
        <v>0</v>
      </c>
      <c r="AE4" s="5">
        <v>0</v>
      </c>
      <c r="AH4" s="4" t="s">
        <v>16</v>
      </c>
      <c r="AI4" s="4" t="s">
        <v>54</v>
      </c>
      <c r="AJ4" s="4" t="s">
        <v>52</v>
      </c>
    </row>
    <row r="5" spans="1:36" x14ac:dyDescent="0.3">
      <c r="A5" s="5">
        <v>4</v>
      </c>
      <c r="B5" s="6" t="s">
        <v>179</v>
      </c>
      <c r="C5" s="6" t="s">
        <v>195</v>
      </c>
      <c r="D5" s="24" t="s">
        <v>85</v>
      </c>
      <c r="E5" s="5" t="s">
        <v>211</v>
      </c>
      <c r="F5" s="5">
        <v>22</v>
      </c>
      <c r="G5" s="6">
        <v>0</v>
      </c>
      <c r="H5" s="5">
        <v>0</v>
      </c>
      <c r="I5" s="5">
        <v>0</v>
      </c>
      <c r="J5" s="5">
        <v>0</v>
      </c>
      <c r="K5" s="5">
        <v>11041</v>
      </c>
      <c r="L5" s="5">
        <v>12021</v>
      </c>
      <c r="M5" s="5">
        <v>5</v>
      </c>
      <c r="N5" s="5">
        <v>5</v>
      </c>
      <c r="O5" s="5">
        <v>90</v>
      </c>
      <c r="P5" s="6">
        <v>10</v>
      </c>
      <c r="Q5" s="5">
        <v>0</v>
      </c>
      <c r="R5" s="5">
        <v>0</v>
      </c>
      <c r="T5" s="5">
        <v>0</v>
      </c>
      <c r="U5" s="5">
        <v>0</v>
      </c>
      <c r="V5" s="5">
        <v>5</v>
      </c>
      <c r="W5" s="5">
        <v>120</v>
      </c>
      <c r="X5" s="5">
        <v>100</v>
      </c>
      <c r="Y5" s="5">
        <v>1</v>
      </c>
      <c r="Z5" s="5">
        <v>1</v>
      </c>
      <c r="AA5" s="5">
        <v>80</v>
      </c>
      <c r="AB5" s="5">
        <v>110</v>
      </c>
      <c r="AC5" s="5">
        <v>0</v>
      </c>
      <c r="AD5" s="6">
        <v>0</v>
      </c>
      <c r="AE5" s="5">
        <v>0</v>
      </c>
      <c r="AH5" s="4" t="s">
        <v>86</v>
      </c>
      <c r="AI5" s="4" t="s">
        <v>87</v>
      </c>
      <c r="AJ5" s="4" t="s">
        <v>52</v>
      </c>
    </row>
    <row r="6" spans="1:36" x14ac:dyDescent="0.3">
      <c r="A6" s="5">
        <v>5</v>
      </c>
      <c r="B6" s="6" t="s">
        <v>180</v>
      </c>
      <c r="C6" s="6" t="s">
        <v>196</v>
      </c>
      <c r="D6" s="24" t="s">
        <v>93</v>
      </c>
      <c r="E6" s="5" t="s">
        <v>89</v>
      </c>
      <c r="F6" s="5">
        <v>34</v>
      </c>
      <c r="G6" s="6">
        <v>0</v>
      </c>
      <c r="H6" s="5">
        <v>0</v>
      </c>
      <c r="I6" s="5">
        <v>0</v>
      </c>
      <c r="J6" s="5">
        <v>0</v>
      </c>
      <c r="K6" s="5">
        <v>11041</v>
      </c>
      <c r="L6" s="5">
        <v>12021</v>
      </c>
      <c r="M6" s="5">
        <v>5</v>
      </c>
      <c r="N6" s="5">
        <v>5</v>
      </c>
      <c r="O6" s="5">
        <v>90</v>
      </c>
      <c r="P6" s="6">
        <v>10</v>
      </c>
      <c r="Q6" s="5">
        <v>0</v>
      </c>
      <c r="R6" s="5">
        <v>0</v>
      </c>
      <c r="T6" s="5">
        <v>0</v>
      </c>
      <c r="U6" s="5">
        <v>0</v>
      </c>
      <c r="V6" s="5">
        <v>5</v>
      </c>
      <c r="W6" s="5">
        <v>120</v>
      </c>
      <c r="X6" s="5">
        <v>100</v>
      </c>
      <c r="Y6" s="5">
        <v>1</v>
      </c>
      <c r="Z6" s="5">
        <v>1</v>
      </c>
      <c r="AA6" s="5">
        <v>80</v>
      </c>
      <c r="AB6" s="5">
        <v>110</v>
      </c>
      <c r="AC6" s="5">
        <v>0</v>
      </c>
      <c r="AD6" s="6">
        <v>0</v>
      </c>
      <c r="AE6" s="5">
        <v>0</v>
      </c>
      <c r="AH6" s="4" t="s">
        <v>15</v>
      </c>
      <c r="AI6" s="4" t="s">
        <v>55</v>
      </c>
      <c r="AJ6" s="4" t="s">
        <v>53</v>
      </c>
    </row>
    <row r="7" spans="1:36" x14ac:dyDescent="0.3">
      <c r="A7" s="5">
        <v>6</v>
      </c>
      <c r="B7" s="6" t="s">
        <v>181</v>
      </c>
      <c r="C7" s="6" t="s">
        <v>197</v>
      </c>
      <c r="D7" s="24" t="s">
        <v>88</v>
      </c>
      <c r="E7" s="5" t="s">
        <v>90</v>
      </c>
      <c r="F7" s="5">
        <v>28</v>
      </c>
      <c r="G7" s="6">
        <v>0</v>
      </c>
      <c r="H7" s="5">
        <v>0</v>
      </c>
      <c r="I7" s="5">
        <v>0</v>
      </c>
      <c r="J7" s="5">
        <v>0</v>
      </c>
      <c r="K7" s="5">
        <v>11041</v>
      </c>
      <c r="L7" s="5">
        <v>12021</v>
      </c>
      <c r="M7" s="5">
        <v>5</v>
      </c>
      <c r="N7" s="5">
        <v>5</v>
      </c>
      <c r="O7" s="5">
        <v>90</v>
      </c>
      <c r="P7" s="6">
        <v>10</v>
      </c>
      <c r="Q7" s="5">
        <v>0</v>
      </c>
      <c r="R7" s="5">
        <v>0</v>
      </c>
      <c r="T7" s="5">
        <v>0</v>
      </c>
      <c r="U7" s="5">
        <v>0</v>
      </c>
      <c r="V7" s="5">
        <v>5</v>
      </c>
      <c r="W7" s="5">
        <v>120</v>
      </c>
      <c r="X7" s="5">
        <v>100</v>
      </c>
      <c r="Y7" s="5">
        <v>1</v>
      </c>
      <c r="Z7" s="5">
        <v>1</v>
      </c>
      <c r="AA7" s="5">
        <v>80</v>
      </c>
      <c r="AB7" s="5">
        <v>110</v>
      </c>
      <c r="AC7" s="5">
        <v>0</v>
      </c>
      <c r="AD7" s="6">
        <v>0</v>
      </c>
      <c r="AE7" s="5">
        <v>0</v>
      </c>
      <c r="AH7" s="4" t="s">
        <v>17</v>
      </c>
      <c r="AI7" s="4" t="s">
        <v>56</v>
      </c>
      <c r="AJ7" s="4" t="s">
        <v>53</v>
      </c>
    </row>
    <row r="8" spans="1:36" x14ac:dyDescent="0.3">
      <c r="A8" s="5">
        <v>7</v>
      </c>
      <c r="B8" s="6" t="s">
        <v>182</v>
      </c>
      <c r="C8" s="6" t="s">
        <v>198</v>
      </c>
      <c r="D8" s="24" t="s">
        <v>95</v>
      </c>
      <c r="E8" s="5" t="s">
        <v>96</v>
      </c>
      <c r="F8" s="5">
        <v>40</v>
      </c>
      <c r="G8" s="6">
        <v>0</v>
      </c>
      <c r="H8" s="5">
        <v>0</v>
      </c>
      <c r="I8" s="5">
        <v>0</v>
      </c>
      <c r="J8" s="5">
        <v>0</v>
      </c>
      <c r="K8" s="5">
        <v>11041</v>
      </c>
      <c r="L8" s="5">
        <v>12021</v>
      </c>
      <c r="M8" s="5">
        <v>5</v>
      </c>
      <c r="N8" s="5">
        <v>5</v>
      </c>
      <c r="O8" s="5">
        <v>90</v>
      </c>
      <c r="P8" s="6">
        <v>10</v>
      </c>
      <c r="Q8" s="5">
        <v>0</v>
      </c>
      <c r="R8" s="5">
        <v>0</v>
      </c>
      <c r="T8" s="5">
        <v>0</v>
      </c>
      <c r="U8" s="5">
        <v>0</v>
      </c>
      <c r="V8" s="5">
        <v>5</v>
      </c>
      <c r="W8" s="5">
        <v>120</v>
      </c>
      <c r="X8" s="5">
        <v>100</v>
      </c>
      <c r="Y8" s="5">
        <v>1</v>
      </c>
      <c r="Z8" s="5">
        <v>1</v>
      </c>
      <c r="AA8" s="5">
        <v>80</v>
      </c>
      <c r="AB8" s="5">
        <v>110</v>
      </c>
      <c r="AC8" s="5">
        <v>0</v>
      </c>
      <c r="AD8" s="6">
        <v>0</v>
      </c>
      <c r="AE8" s="5">
        <v>0</v>
      </c>
      <c r="AH8" s="4" t="s">
        <v>43</v>
      </c>
      <c r="AI8" s="4" t="s">
        <v>57</v>
      </c>
      <c r="AJ8" s="4" t="s">
        <v>12</v>
      </c>
    </row>
    <row r="9" spans="1:36" x14ac:dyDescent="0.3">
      <c r="A9" s="5">
        <v>8</v>
      </c>
      <c r="B9" s="6" t="s">
        <v>183</v>
      </c>
      <c r="C9" s="6" t="s">
        <v>199</v>
      </c>
      <c r="D9" s="24" t="s">
        <v>91</v>
      </c>
      <c r="E9" s="5" t="s">
        <v>212</v>
      </c>
      <c r="F9" s="5">
        <v>22</v>
      </c>
      <c r="G9" s="6">
        <v>0</v>
      </c>
      <c r="H9" s="5">
        <v>0</v>
      </c>
      <c r="I9" s="5">
        <v>0</v>
      </c>
      <c r="J9" s="5">
        <v>0</v>
      </c>
      <c r="K9" s="5">
        <v>11042</v>
      </c>
      <c r="L9" s="5">
        <v>12021</v>
      </c>
      <c r="M9" s="5">
        <v>5</v>
      </c>
      <c r="N9" s="5">
        <v>5</v>
      </c>
      <c r="O9" s="5">
        <v>100</v>
      </c>
      <c r="P9" s="5">
        <v>11</v>
      </c>
      <c r="Q9" s="5">
        <v>0</v>
      </c>
      <c r="R9" s="5">
        <v>0</v>
      </c>
      <c r="T9" s="5">
        <v>0</v>
      </c>
      <c r="U9" s="5">
        <v>0</v>
      </c>
      <c r="V9" s="5">
        <v>10</v>
      </c>
      <c r="W9" s="5">
        <v>125</v>
      </c>
      <c r="X9" s="5">
        <v>100</v>
      </c>
      <c r="Y9" s="5">
        <v>1</v>
      </c>
      <c r="Z9" s="5">
        <v>1</v>
      </c>
      <c r="AA9" s="5">
        <v>80</v>
      </c>
      <c r="AB9" s="5">
        <v>110</v>
      </c>
      <c r="AC9" s="5">
        <v>0</v>
      </c>
      <c r="AD9" s="6">
        <v>0</v>
      </c>
      <c r="AE9" s="5">
        <v>0</v>
      </c>
      <c r="AH9" s="4" t="s">
        <v>45</v>
      </c>
      <c r="AI9" s="4" t="s">
        <v>82</v>
      </c>
      <c r="AJ9" s="4" t="s">
        <v>12</v>
      </c>
    </row>
    <row r="10" spans="1:36" x14ac:dyDescent="0.3">
      <c r="A10" s="5">
        <v>9</v>
      </c>
      <c r="B10" s="6" t="s">
        <v>184</v>
      </c>
      <c r="C10" s="6" t="s">
        <v>200</v>
      </c>
      <c r="D10" s="24" t="s">
        <v>94</v>
      </c>
      <c r="E10" s="5" t="s">
        <v>98</v>
      </c>
      <c r="F10" s="5">
        <v>34</v>
      </c>
      <c r="G10" s="6">
        <v>0</v>
      </c>
      <c r="H10" s="5">
        <v>0</v>
      </c>
      <c r="I10" s="5">
        <v>0</v>
      </c>
      <c r="J10" s="5">
        <v>0</v>
      </c>
      <c r="K10" s="5">
        <v>11042</v>
      </c>
      <c r="L10" s="5">
        <v>12021</v>
      </c>
      <c r="M10" s="5">
        <v>5</v>
      </c>
      <c r="N10" s="5">
        <v>5</v>
      </c>
      <c r="O10" s="5">
        <v>100</v>
      </c>
      <c r="P10" s="5">
        <v>11</v>
      </c>
      <c r="Q10" s="5">
        <v>0</v>
      </c>
      <c r="R10" s="5">
        <v>0</v>
      </c>
      <c r="T10" s="5">
        <v>0</v>
      </c>
      <c r="U10" s="5">
        <v>0</v>
      </c>
      <c r="V10" s="5">
        <v>10</v>
      </c>
      <c r="W10" s="5">
        <v>125</v>
      </c>
      <c r="X10" s="5">
        <v>100</v>
      </c>
      <c r="Y10" s="5">
        <v>1</v>
      </c>
      <c r="Z10" s="5">
        <v>1</v>
      </c>
      <c r="AA10" s="5">
        <v>80</v>
      </c>
      <c r="AB10" s="5">
        <v>110</v>
      </c>
      <c r="AC10" s="5">
        <v>0</v>
      </c>
      <c r="AD10" s="6">
        <v>0</v>
      </c>
      <c r="AE10" s="5">
        <v>0</v>
      </c>
      <c r="AH10" s="4" t="s">
        <v>47</v>
      </c>
      <c r="AI10" s="4" t="s">
        <v>83</v>
      </c>
      <c r="AJ10" s="4" t="s">
        <v>12</v>
      </c>
    </row>
    <row r="11" spans="1:36" x14ac:dyDescent="0.3">
      <c r="A11" s="5">
        <v>10</v>
      </c>
      <c r="B11" s="6" t="s">
        <v>185</v>
      </c>
      <c r="C11" s="6" t="s">
        <v>201</v>
      </c>
      <c r="D11" s="24" t="s">
        <v>92</v>
      </c>
      <c r="E11" s="5" t="s">
        <v>99</v>
      </c>
      <c r="F11" s="5">
        <v>28</v>
      </c>
      <c r="G11" s="6">
        <v>0</v>
      </c>
      <c r="H11" s="5">
        <v>0</v>
      </c>
      <c r="I11" s="5">
        <v>0</v>
      </c>
      <c r="J11" s="5">
        <v>0</v>
      </c>
      <c r="K11" s="5">
        <v>11042</v>
      </c>
      <c r="L11" s="5">
        <v>12021</v>
      </c>
      <c r="M11" s="5">
        <v>5</v>
      </c>
      <c r="N11" s="5">
        <v>5</v>
      </c>
      <c r="O11" s="5">
        <v>100</v>
      </c>
      <c r="P11" s="5">
        <v>11</v>
      </c>
      <c r="Q11" s="5">
        <v>0</v>
      </c>
      <c r="R11" s="5">
        <v>0</v>
      </c>
      <c r="T11" s="5">
        <v>0</v>
      </c>
      <c r="U11" s="5">
        <v>0</v>
      </c>
      <c r="V11" s="5">
        <v>10</v>
      </c>
      <c r="W11" s="5">
        <v>125</v>
      </c>
      <c r="X11" s="5">
        <v>100</v>
      </c>
      <c r="Y11" s="5">
        <v>1</v>
      </c>
      <c r="Z11" s="5">
        <v>1</v>
      </c>
      <c r="AA11" s="5">
        <v>80</v>
      </c>
      <c r="AB11" s="5">
        <v>110</v>
      </c>
      <c r="AC11" s="5">
        <v>0</v>
      </c>
      <c r="AD11" s="6">
        <v>0</v>
      </c>
      <c r="AE11" s="5">
        <v>0</v>
      </c>
      <c r="AH11" s="4" t="s">
        <v>69</v>
      </c>
      <c r="AI11" s="4" t="s">
        <v>78</v>
      </c>
      <c r="AJ11" s="4" t="s">
        <v>12</v>
      </c>
    </row>
    <row r="12" spans="1:36" x14ac:dyDescent="0.3">
      <c r="A12" s="5">
        <v>11</v>
      </c>
      <c r="B12" s="6" t="s">
        <v>186</v>
      </c>
      <c r="C12" s="6" t="s">
        <v>202</v>
      </c>
      <c r="D12" s="24" t="s">
        <v>97</v>
      </c>
      <c r="E12" s="5" t="s">
        <v>100</v>
      </c>
      <c r="F12" s="5">
        <v>40</v>
      </c>
      <c r="G12" s="6">
        <v>0</v>
      </c>
      <c r="H12" s="5">
        <v>0</v>
      </c>
      <c r="I12" s="5">
        <v>0</v>
      </c>
      <c r="J12" s="5">
        <v>0</v>
      </c>
      <c r="K12" s="5">
        <v>11042</v>
      </c>
      <c r="L12" s="5">
        <v>12021</v>
      </c>
      <c r="M12" s="5">
        <v>5</v>
      </c>
      <c r="N12" s="5">
        <v>5</v>
      </c>
      <c r="O12" s="5">
        <v>100</v>
      </c>
      <c r="P12" s="5">
        <v>11</v>
      </c>
      <c r="Q12" s="5">
        <v>0</v>
      </c>
      <c r="R12" s="5">
        <v>0</v>
      </c>
      <c r="T12" s="5">
        <v>0</v>
      </c>
      <c r="U12" s="5">
        <v>0</v>
      </c>
      <c r="V12" s="5">
        <v>10</v>
      </c>
      <c r="W12" s="5">
        <v>125</v>
      </c>
      <c r="X12" s="5">
        <v>100</v>
      </c>
      <c r="Y12" s="5">
        <v>1</v>
      </c>
      <c r="Z12" s="5">
        <v>1</v>
      </c>
      <c r="AA12" s="5">
        <v>80</v>
      </c>
      <c r="AB12" s="5">
        <v>110</v>
      </c>
      <c r="AC12" s="5">
        <v>0</v>
      </c>
      <c r="AD12" s="6">
        <v>0</v>
      </c>
      <c r="AE12" s="5">
        <v>0</v>
      </c>
      <c r="AH12" s="4" t="s">
        <v>71</v>
      </c>
      <c r="AI12" s="4" t="s">
        <v>79</v>
      </c>
      <c r="AJ12" s="4" t="s">
        <v>12</v>
      </c>
    </row>
    <row r="13" spans="1:36" x14ac:dyDescent="0.3">
      <c r="A13" s="5">
        <v>12</v>
      </c>
      <c r="B13" s="6" t="s">
        <v>187</v>
      </c>
      <c r="C13" s="6" t="s">
        <v>203</v>
      </c>
      <c r="D13" s="23" t="s">
        <v>172</v>
      </c>
      <c r="E13" s="5" t="s">
        <v>213</v>
      </c>
      <c r="F13" s="5">
        <v>22</v>
      </c>
      <c r="G13" s="6">
        <v>0</v>
      </c>
      <c r="H13" s="5">
        <v>0</v>
      </c>
      <c r="I13" s="5">
        <v>0</v>
      </c>
      <c r="J13" s="5">
        <v>0</v>
      </c>
      <c r="K13" s="5">
        <v>11044</v>
      </c>
      <c r="L13" s="5">
        <v>12021</v>
      </c>
      <c r="M13" s="5">
        <v>0</v>
      </c>
      <c r="N13" s="5">
        <v>5</v>
      </c>
      <c r="O13" s="5">
        <v>70</v>
      </c>
      <c r="P13" s="6">
        <v>10</v>
      </c>
      <c r="Q13" s="5">
        <v>0</v>
      </c>
      <c r="R13" s="5">
        <v>0</v>
      </c>
      <c r="T13" s="5">
        <v>0</v>
      </c>
      <c r="U13" s="5">
        <v>0</v>
      </c>
      <c r="V13" s="5">
        <v>5</v>
      </c>
      <c r="W13" s="5">
        <v>120</v>
      </c>
      <c r="X13" s="5">
        <v>75</v>
      </c>
      <c r="Y13" s="5">
        <v>1</v>
      </c>
      <c r="Z13" s="5">
        <v>1</v>
      </c>
      <c r="AA13" s="5">
        <v>240</v>
      </c>
      <c r="AB13" s="5">
        <v>110</v>
      </c>
      <c r="AC13" s="5">
        <v>0</v>
      </c>
      <c r="AD13" s="6">
        <v>0</v>
      </c>
      <c r="AE13" s="5">
        <v>0</v>
      </c>
      <c r="AH13" s="4" t="s">
        <v>73</v>
      </c>
      <c r="AI13" s="4" t="s">
        <v>80</v>
      </c>
      <c r="AJ13" s="4" t="s">
        <v>3</v>
      </c>
    </row>
    <row r="14" spans="1:36" x14ac:dyDescent="0.3">
      <c r="A14" s="5">
        <v>13</v>
      </c>
      <c r="B14" s="6" t="s">
        <v>188</v>
      </c>
      <c r="C14" s="6" t="s">
        <v>204</v>
      </c>
      <c r="D14" s="23" t="s">
        <v>173</v>
      </c>
      <c r="E14" s="5" t="s">
        <v>214</v>
      </c>
      <c r="F14" s="5">
        <v>34</v>
      </c>
      <c r="G14" s="6">
        <v>0</v>
      </c>
      <c r="H14" s="5">
        <v>0</v>
      </c>
      <c r="I14" s="5">
        <v>0</v>
      </c>
      <c r="J14" s="5">
        <v>0</v>
      </c>
      <c r="K14" s="5">
        <v>11044</v>
      </c>
      <c r="L14" s="5">
        <v>12021</v>
      </c>
      <c r="M14" s="5">
        <v>0</v>
      </c>
      <c r="N14" s="5">
        <v>5</v>
      </c>
      <c r="O14" s="5">
        <v>70</v>
      </c>
      <c r="P14" s="6">
        <v>10</v>
      </c>
      <c r="Q14" s="5">
        <v>0</v>
      </c>
      <c r="R14" s="5">
        <v>0</v>
      </c>
      <c r="T14" s="5">
        <v>0</v>
      </c>
      <c r="U14" s="5">
        <v>0</v>
      </c>
      <c r="V14" s="5">
        <v>5</v>
      </c>
      <c r="W14" s="5">
        <v>120</v>
      </c>
      <c r="X14" s="5">
        <v>75</v>
      </c>
      <c r="Y14" s="5">
        <v>1</v>
      </c>
      <c r="Z14" s="5">
        <v>1</v>
      </c>
      <c r="AA14" s="5">
        <v>240</v>
      </c>
      <c r="AB14" s="5">
        <v>110</v>
      </c>
      <c r="AC14" s="5">
        <v>0</v>
      </c>
      <c r="AD14" s="6">
        <v>0</v>
      </c>
      <c r="AE14" s="5">
        <v>0</v>
      </c>
      <c r="AH14" s="4" t="s">
        <v>75</v>
      </c>
      <c r="AI14" s="4" t="s">
        <v>81</v>
      </c>
      <c r="AJ14" s="4" t="s">
        <v>3</v>
      </c>
    </row>
    <row r="15" spans="1:36" x14ac:dyDescent="0.3">
      <c r="A15" s="5">
        <v>14</v>
      </c>
      <c r="B15" s="6" t="s">
        <v>189</v>
      </c>
      <c r="C15" s="6" t="s">
        <v>205</v>
      </c>
      <c r="D15" s="23" t="s">
        <v>174</v>
      </c>
      <c r="E15" s="5" t="s">
        <v>215</v>
      </c>
      <c r="F15" s="5">
        <v>28</v>
      </c>
      <c r="G15" s="6">
        <v>0</v>
      </c>
      <c r="H15" s="5">
        <v>0</v>
      </c>
      <c r="I15" s="5">
        <v>0</v>
      </c>
      <c r="J15" s="5">
        <v>0</v>
      </c>
      <c r="K15" s="5">
        <v>11044</v>
      </c>
      <c r="L15" s="5">
        <v>12021</v>
      </c>
      <c r="M15" s="5">
        <v>0</v>
      </c>
      <c r="N15" s="5">
        <v>5</v>
      </c>
      <c r="O15" s="5">
        <v>70</v>
      </c>
      <c r="P15" s="6">
        <v>10</v>
      </c>
      <c r="Q15" s="5">
        <v>0</v>
      </c>
      <c r="R15" s="5">
        <v>0</v>
      </c>
      <c r="T15" s="5">
        <v>0</v>
      </c>
      <c r="U15" s="5">
        <v>0</v>
      </c>
      <c r="V15" s="5">
        <v>5</v>
      </c>
      <c r="W15" s="5">
        <v>120</v>
      </c>
      <c r="X15" s="5">
        <v>75</v>
      </c>
      <c r="Y15" s="5">
        <v>1</v>
      </c>
      <c r="Z15" s="5">
        <v>1</v>
      </c>
      <c r="AA15" s="5">
        <v>240</v>
      </c>
      <c r="AB15" s="5">
        <v>110</v>
      </c>
      <c r="AC15" s="5">
        <v>0</v>
      </c>
      <c r="AD15" s="6">
        <v>0</v>
      </c>
      <c r="AE15" s="5">
        <v>0</v>
      </c>
      <c r="AH15" s="4" t="s">
        <v>20</v>
      </c>
      <c r="AI15" s="4" t="s">
        <v>165</v>
      </c>
      <c r="AJ15" s="4" t="s">
        <v>2</v>
      </c>
    </row>
    <row r="16" spans="1:36" x14ac:dyDescent="0.3">
      <c r="A16" s="5">
        <v>15</v>
      </c>
      <c r="B16" s="6" t="s">
        <v>190</v>
      </c>
      <c r="C16" s="6" t="s">
        <v>206</v>
      </c>
      <c r="D16" s="23" t="s">
        <v>175</v>
      </c>
      <c r="E16" s="5" t="s">
        <v>216</v>
      </c>
      <c r="F16" s="5">
        <v>40</v>
      </c>
      <c r="G16" s="6">
        <v>0</v>
      </c>
      <c r="H16" s="5">
        <v>0</v>
      </c>
      <c r="I16" s="5">
        <v>0</v>
      </c>
      <c r="J16" s="5">
        <v>0</v>
      </c>
      <c r="K16" s="5">
        <v>11044</v>
      </c>
      <c r="L16" s="5">
        <v>12021</v>
      </c>
      <c r="M16" s="5">
        <v>0</v>
      </c>
      <c r="N16" s="5">
        <v>5</v>
      </c>
      <c r="O16" s="5">
        <v>70</v>
      </c>
      <c r="P16" s="6">
        <v>10</v>
      </c>
      <c r="Q16" s="5">
        <v>0</v>
      </c>
      <c r="R16" s="5">
        <v>0</v>
      </c>
      <c r="T16" s="5">
        <v>0</v>
      </c>
      <c r="U16" s="5">
        <v>0</v>
      </c>
      <c r="V16" s="5">
        <v>5</v>
      </c>
      <c r="W16" s="5">
        <v>120</v>
      </c>
      <c r="X16" s="5">
        <v>75</v>
      </c>
      <c r="Y16" s="5">
        <v>1</v>
      </c>
      <c r="Z16" s="5">
        <v>1</v>
      </c>
      <c r="AA16" s="5">
        <v>240</v>
      </c>
      <c r="AB16" s="5">
        <v>110</v>
      </c>
      <c r="AC16" s="5">
        <v>0</v>
      </c>
      <c r="AD16" s="6">
        <v>0</v>
      </c>
      <c r="AE16" s="5">
        <v>0</v>
      </c>
      <c r="AH16" s="4" t="s">
        <v>21</v>
      </c>
      <c r="AI16" s="4" t="s">
        <v>166</v>
      </c>
      <c r="AJ16" s="4" t="s">
        <v>2</v>
      </c>
    </row>
    <row r="17" spans="1:36" x14ac:dyDescent="0.3">
      <c r="A17" s="5">
        <v>16</v>
      </c>
      <c r="B17" s="6" t="s">
        <v>191</v>
      </c>
      <c r="C17" s="6" t="s">
        <v>207</v>
      </c>
      <c r="D17" s="23" t="s">
        <v>163</v>
      </c>
      <c r="E17" s="5" t="s">
        <v>217</v>
      </c>
      <c r="F17" s="5">
        <v>72</v>
      </c>
      <c r="G17" s="6">
        <v>54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200</v>
      </c>
      <c r="P17" s="6">
        <v>15</v>
      </c>
      <c r="Q17" s="5">
        <v>3</v>
      </c>
      <c r="R17" s="5">
        <v>3</v>
      </c>
      <c r="T17" s="5">
        <v>0</v>
      </c>
      <c r="U17" s="5">
        <v>0</v>
      </c>
      <c r="V17" s="5">
        <v>15</v>
      </c>
      <c r="W17" s="5">
        <v>130</v>
      </c>
      <c r="X17" s="5">
        <v>100</v>
      </c>
      <c r="Y17" s="5">
        <v>1</v>
      </c>
      <c r="Z17" s="5">
        <v>1</v>
      </c>
      <c r="AA17" s="5">
        <v>100</v>
      </c>
      <c r="AB17" s="5">
        <v>110</v>
      </c>
      <c r="AC17" s="5">
        <v>0</v>
      </c>
      <c r="AD17" s="6">
        <v>0</v>
      </c>
      <c r="AE17" s="5">
        <v>0</v>
      </c>
      <c r="AH17" s="4" t="s">
        <v>22</v>
      </c>
      <c r="AI17" s="4" t="s">
        <v>167</v>
      </c>
      <c r="AJ17" s="4" t="s">
        <v>2</v>
      </c>
    </row>
    <row r="18" spans="1:36" x14ac:dyDescent="0.3">
      <c r="A18" s="5">
        <v>17</v>
      </c>
      <c r="B18" s="6" t="s">
        <v>219</v>
      </c>
      <c r="C18" s="6" t="s">
        <v>221</v>
      </c>
      <c r="D18" s="23" t="s">
        <v>222</v>
      </c>
      <c r="E18" s="5" t="s">
        <v>256</v>
      </c>
      <c r="F18" s="5">
        <v>0</v>
      </c>
      <c r="G18" s="6">
        <v>0</v>
      </c>
      <c r="H18" s="5">
        <v>0</v>
      </c>
      <c r="I18" s="5">
        <v>0</v>
      </c>
      <c r="J18" s="5">
        <v>0</v>
      </c>
      <c r="K18" s="5">
        <v>11045</v>
      </c>
      <c r="L18" s="5">
        <v>0</v>
      </c>
      <c r="M18" s="5">
        <v>5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H18" s="4" t="s">
        <v>23</v>
      </c>
      <c r="AI18" s="4" t="s">
        <v>168</v>
      </c>
      <c r="AJ18" s="4" t="s">
        <v>2</v>
      </c>
    </row>
    <row r="19" spans="1:36" x14ac:dyDescent="0.3">
      <c r="A19" s="5">
        <v>18</v>
      </c>
      <c r="B19" s="6" t="s">
        <v>220</v>
      </c>
      <c r="C19" s="6" t="s">
        <v>225</v>
      </c>
      <c r="D19" s="23" t="s">
        <v>223</v>
      </c>
      <c r="E19" s="5" t="s">
        <v>257</v>
      </c>
      <c r="F19" s="5">
        <v>0</v>
      </c>
      <c r="G19" s="6">
        <v>0</v>
      </c>
      <c r="H19" s="5">
        <v>0</v>
      </c>
      <c r="I19" s="5">
        <v>0</v>
      </c>
      <c r="J19" s="5">
        <v>0</v>
      </c>
      <c r="K19" s="5">
        <v>11046</v>
      </c>
      <c r="L19" s="5">
        <v>0</v>
      </c>
      <c r="M19" s="5">
        <v>5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H19" s="4" t="s">
        <v>24</v>
      </c>
      <c r="AI19" s="4" t="s">
        <v>58</v>
      </c>
      <c r="AJ19" s="4" t="s">
        <v>3</v>
      </c>
    </row>
    <row r="20" spans="1:36" x14ac:dyDescent="0.3">
      <c r="A20" s="5">
        <v>19</v>
      </c>
      <c r="B20" s="6" t="s">
        <v>226</v>
      </c>
      <c r="C20" s="6" t="s">
        <v>227</v>
      </c>
      <c r="D20" s="23" t="s">
        <v>224</v>
      </c>
      <c r="E20" s="5" t="s">
        <v>258</v>
      </c>
      <c r="F20" s="5">
        <v>0</v>
      </c>
      <c r="G20" s="6">
        <v>0</v>
      </c>
      <c r="H20" s="5">
        <v>0</v>
      </c>
      <c r="I20" s="5">
        <v>0</v>
      </c>
      <c r="J20" s="5">
        <v>0</v>
      </c>
      <c r="K20" s="5">
        <v>11005</v>
      </c>
      <c r="L20" s="5">
        <v>0</v>
      </c>
      <c r="M20" s="5">
        <v>5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H20" s="4" t="s">
        <v>25</v>
      </c>
      <c r="AI20" s="4" t="s">
        <v>59</v>
      </c>
      <c r="AJ20" s="4" t="s">
        <v>3</v>
      </c>
    </row>
    <row r="21" spans="1:36" x14ac:dyDescent="0.3">
      <c r="A21" s="5">
        <v>20</v>
      </c>
      <c r="B21" s="6" t="s">
        <v>228</v>
      </c>
      <c r="C21" s="6" t="s">
        <v>229</v>
      </c>
      <c r="D21" s="25" t="s">
        <v>259</v>
      </c>
      <c r="E21" s="21" t="s">
        <v>271</v>
      </c>
      <c r="F21" s="5">
        <v>22</v>
      </c>
      <c r="G21" s="6">
        <v>0</v>
      </c>
      <c r="H21" s="5">
        <v>0</v>
      </c>
      <c r="I21" s="5">
        <v>0</v>
      </c>
      <c r="J21" s="5">
        <v>0</v>
      </c>
      <c r="K21" s="5">
        <v>11045</v>
      </c>
      <c r="L21" s="5">
        <v>0</v>
      </c>
      <c r="M21" s="5">
        <v>5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H21" s="4" t="s">
        <v>19</v>
      </c>
      <c r="AI21" s="4" t="s">
        <v>60</v>
      </c>
      <c r="AJ21" s="4" t="s">
        <v>3</v>
      </c>
    </row>
    <row r="22" spans="1:36" x14ac:dyDescent="0.3">
      <c r="A22" s="5">
        <v>21</v>
      </c>
      <c r="B22" s="6" t="s">
        <v>230</v>
      </c>
      <c r="C22" s="6" t="s">
        <v>231</v>
      </c>
      <c r="D22" s="25" t="s">
        <v>260</v>
      </c>
      <c r="E22" s="21" t="s">
        <v>272</v>
      </c>
      <c r="F22" s="5">
        <v>34</v>
      </c>
      <c r="G22" s="6">
        <v>0</v>
      </c>
      <c r="H22" s="5">
        <v>0</v>
      </c>
      <c r="I22" s="5">
        <v>0</v>
      </c>
      <c r="J22" s="5">
        <v>0</v>
      </c>
      <c r="K22" s="5">
        <v>11045</v>
      </c>
      <c r="L22" s="5">
        <v>0</v>
      </c>
      <c r="M22" s="5">
        <v>5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H22" s="4" t="s">
        <v>27</v>
      </c>
      <c r="AI22" s="4" t="s">
        <v>61</v>
      </c>
      <c r="AJ22" s="4" t="s">
        <v>3</v>
      </c>
    </row>
    <row r="23" spans="1:36" x14ac:dyDescent="0.3">
      <c r="A23" s="5">
        <v>22</v>
      </c>
      <c r="B23" s="6" t="s">
        <v>232</v>
      </c>
      <c r="C23" s="6" t="s">
        <v>233</v>
      </c>
      <c r="D23" s="25" t="s">
        <v>261</v>
      </c>
      <c r="E23" s="21" t="s">
        <v>273</v>
      </c>
      <c r="F23" s="5">
        <v>28</v>
      </c>
      <c r="G23" s="6">
        <v>0</v>
      </c>
      <c r="H23" s="5">
        <v>0</v>
      </c>
      <c r="I23" s="5">
        <v>0</v>
      </c>
      <c r="J23" s="5">
        <v>0</v>
      </c>
      <c r="K23" s="5">
        <v>11045</v>
      </c>
      <c r="L23" s="5">
        <v>0</v>
      </c>
      <c r="M23" s="5">
        <v>5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H23" s="4" t="s">
        <v>28</v>
      </c>
      <c r="AI23" s="4" t="s">
        <v>62</v>
      </c>
      <c r="AJ23" s="4" t="s">
        <v>3</v>
      </c>
    </row>
    <row r="24" spans="1:36" x14ac:dyDescent="0.3">
      <c r="A24" s="5">
        <v>23</v>
      </c>
      <c r="B24" s="6" t="s">
        <v>234</v>
      </c>
      <c r="C24" s="6" t="s">
        <v>235</v>
      </c>
      <c r="D24" s="25" t="s">
        <v>262</v>
      </c>
      <c r="E24" s="21" t="s">
        <v>274</v>
      </c>
      <c r="F24" s="5">
        <v>40</v>
      </c>
      <c r="G24" s="6">
        <v>0</v>
      </c>
      <c r="H24" s="5">
        <v>0</v>
      </c>
      <c r="I24" s="5">
        <v>0</v>
      </c>
      <c r="J24" s="5">
        <v>0</v>
      </c>
      <c r="K24" s="5">
        <v>11045</v>
      </c>
      <c r="L24" s="5">
        <v>0</v>
      </c>
      <c r="M24" s="5">
        <v>5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H24" s="4" t="s">
        <v>29</v>
      </c>
      <c r="AI24" s="4" t="s">
        <v>63</v>
      </c>
      <c r="AJ24" s="4" t="s">
        <v>2</v>
      </c>
    </row>
    <row r="25" spans="1:36" x14ac:dyDescent="0.3">
      <c r="A25" s="5">
        <v>24</v>
      </c>
      <c r="B25" s="6" t="s">
        <v>236</v>
      </c>
      <c r="C25" s="6" t="s">
        <v>237</v>
      </c>
      <c r="D25" s="25" t="s">
        <v>263</v>
      </c>
      <c r="E25" s="21" t="s">
        <v>275</v>
      </c>
      <c r="F25" s="5">
        <v>22</v>
      </c>
      <c r="G25" s="6">
        <v>0</v>
      </c>
      <c r="H25" s="5">
        <v>0</v>
      </c>
      <c r="I25" s="5">
        <v>0</v>
      </c>
      <c r="J25" s="5">
        <v>0</v>
      </c>
      <c r="K25" s="5">
        <v>11045</v>
      </c>
      <c r="L25" s="5">
        <v>0</v>
      </c>
      <c r="M25" s="5">
        <v>5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H25" s="4" t="s">
        <v>30</v>
      </c>
      <c r="AI25" s="4" t="s">
        <v>64</v>
      </c>
      <c r="AJ25" s="4" t="s">
        <v>2</v>
      </c>
    </row>
    <row r="26" spans="1:36" x14ac:dyDescent="0.3">
      <c r="A26" s="5">
        <v>25</v>
      </c>
      <c r="B26" s="6" t="s">
        <v>238</v>
      </c>
      <c r="C26" s="6" t="s">
        <v>239</v>
      </c>
      <c r="D26" s="25" t="s">
        <v>264</v>
      </c>
      <c r="E26" s="21" t="s">
        <v>276</v>
      </c>
      <c r="F26" s="5">
        <v>34</v>
      </c>
      <c r="G26" s="6">
        <v>0</v>
      </c>
      <c r="H26" s="5">
        <v>0</v>
      </c>
      <c r="I26" s="5">
        <v>0</v>
      </c>
      <c r="J26" s="5">
        <v>0</v>
      </c>
      <c r="K26" s="5">
        <v>11045</v>
      </c>
      <c r="L26" s="5">
        <v>0</v>
      </c>
      <c r="M26" s="5">
        <v>5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H26" s="4" t="s">
        <v>31</v>
      </c>
      <c r="AI26" s="4" t="s">
        <v>65</v>
      </c>
      <c r="AJ26" s="4" t="s">
        <v>3</v>
      </c>
    </row>
    <row r="27" spans="1:36" x14ac:dyDescent="0.3">
      <c r="A27" s="5">
        <v>26</v>
      </c>
      <c r="B27" s="6" t="s">
        <v>240</v>
      </c>
      <c r="C27" s="6" t="s">
        <v>241</v>
      </c>
      <c r="D27" s="25" t="s">
        <v>265</v>
      </c>
      <c r="E27" s="21" t="s">
        <v>277</v>
      </c>
      <c r="F27" s="5">
        <v>28</v>
      </c>
      <c r="G27" s="6">
        <v>0</v>
      </c>
      <c r="H27" s="5">
        <v>0</v>
      </c>
      <c r="I27" s="5">
        <v>0</v>
      </c>
      <c r="J27" s="5">
        <v>0</v>
      </c>
      <c r="K27" s="5">
        <v>11045</v>
      </c>
      <c r="L27" s="5">
        <v>0</v>
      </c>
      <c r="M27" s="5">
        <v>5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H27" s="4" t="s">
        <v>32</v>
      </c>
      <c r="AI27" s="4" t="s">
        <v>66</v>
      </c>
      <c r="AJ27" s="4" t="s">
        <v>3</v>
      </c>
    </row>
    <row r="28" spans="1:36" x14ac:dyDescent="0.3">
      <c r="A28" s="5">
        <v>27</v>
      </c>
      <c r="B28" s="6" t="s">
        <v>242</v>
      </c>
      <c r="C28" s="6" t="s">
        <v>243</v>
      </c>
      <c r="D28" s="25" t="s">
        <v>266</v>
      </c>
      <c r="E28" s="21" t="s">
        <v>278</v>
      </c>
      <c r="F28" s="5">
        <v>40</v>
      </c>
      <c r="G28" s="6">
        <v>0</v>
      </c>
      <c r="H28" s="5">
        <v>0</v>
      </c>
      <c r="I28" s="5">
        <v>0</v>
      </c>
      <c r="J28" s="5">
        <v>0</v>
      </c>
      <c r="K28" s="5">
        <v>11045</v>
      </c>
      <c r="L28" s="5">
        <v>0</v>
      </c>
      <c r="M28" s="5">
        <v>5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H28" s="4" t="s">
        <v>33</v>
      </c>
      <c r="AI28" s="4" t="s">
        <v>67</v>
      </c>
      <c r="AJ28" s="4" t="s">
        <v>3</v>
      </c>
    </row>
    <row r="29" spans="1:36" x14ac:dyDescent="0.3">
      <c r="A29" s="5">
        <v>28</v>
      </c>
      <c r="B29" s="6" t="s">
        <v>244</v>
      </c>
      <c r="C29" s="6" t="s">
        <v>245</v>
      </c>
      <c r="D29" s="25" t="s">
        <v>267</v>
      </c>
      <c r="E29" s="21" t="s">
        <v>279</v>
      </c>
      <c r="F29" s="5">
        <v>22</v>
      </c>
      <c r="G29" s="6">
        <v>0</v>
      </c>
      <c r="H29" s="5">
        <v>0</v>
      </c>
      <c r="I29" s="5">
        <v>0</v>
      </c>
      <c r="J29" s="5">
        <v>0</v>
      </c>
      <c r="K29" s="5">
        <v>11004</v>
      </c>
      <c r="L29" s="5">
        <v>0</v>
      </c>
      <c r="M29" s="5">
        <v>5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H29" s="4" t="s">
        <v>34</v>
      </c>
      <c r="AI29" s="4" t="s">
        <v>68</v>
      </c>
      <c r="AJ29" s="4" t="s">
        <v>3</v>
      </c>
    </row>
    <row r="30" spans="1:36" x14ac:dyDescent="0.3">
      <c r="A30" s="5">
        <v>29</v>
      </c>
      <c r="B30" s="6" t="s">
        <v>246</v>
      </c>
      <c r="C30" s="6" t="s">
        <v>247</v>
      </c>
      <c r="D30" s="25" t="s">
        <v>268</v>
      </c>
      <c r="E30" s="21" t="s">
        <v>280</v>
      </c>
      <c r="F30" s="5">
        <v>34</v>
      </c>
      <c r="G30" s="6">
        <v>0</v>
      </c>
      <c r="H30" s="5">
        <v>0</v>
      </c>
      <c r="I30" s="5">
        <v>0</v>
      </c>
      <c r="J30" s="5">
        <v>0</v>
      </c>
      <c r="K30" s="5">
        <v>11004</v>
      </c>
      <c r="L30" s="5">
        <v>0</v>
      </c>
      <c r="M30" s="5">
        <v>5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H30" s="4" t="s">
        <v>49</v>
      </c>
      <c r="AI30" s="4" t="s">
        <v>77</v>
      </c>
      <c r="AJ30" s="4" t="s">
        <v>3</v>
      </c>
    </row>
    <row r="31" spans="1:36" x14ac:dyDescent="0.3">
      <c r="A31" s="5">
        <v>30</v>
      </c>
      <c r="B31" s="6" t="s">
        <v>248</v>
      </c>
      <c r="C31" s="6" t="s">
        <v>249</v>
      </c>
      <c r="D31" s="25" t="s">
        <v>269</v>
      </c>
      <c r="E31" s="21" t="s">
        <v>281</v>
      </c>
      <c r="F31" s="5">
        <v>28</v>
      </c>
      <c r="G31" s="6">
        <v>0</v>
      </c>
      <c r="H31" s="5">
        <v>0</v>
      </c>
      <c r="I31" s="5">
        <v>0</v>
      </c>
      <c r="J31" s="5">
        <v>0</v>
      </c>
      <c r="K31" s="5">
        <v>11004</v>
      </c>
      <c r="L31" s="5">
        <v>0</v>
      </c>
      <c r="M31" s="5">
        <v>5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</row>
    <row r="32" spans="1:36" x14ac:dyDescent="0.3">
      <c r="A32" s="5">
        <v>31</v>
      </c>
      <c r="B32" s="6" t="s">
        <v>250</v>
      </c>
      <c r="C32" s="6" t="s">
        <v>251</v>
      </c>
      <c r="D32" s="25" t="s">
        <v>270</v>
      </c>
      <c r="E32" s="21" t="s">
        <v>282</v>
      </c>
      <c r="F32" s="5">
        <v>40</v>
      </c>
      <c r="G32" s="6">
        <v>0</v>
      </c>
      <c r="H32" s="5">
        <v>0</v>
      </c>
      <c r="I32" s="5">
        <v>0</v>
      </c>
      <c r="J32" s="5">
        <v>0</v>
      </c>
      <c r="K32" s="5">
        <v>11004</v>
      </c>
      <c r="L32" s="5">
        <v>0</v>
      </c>
      <c r="M32" s="5">
        <v>5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</row>
    <row r="33" spans="1:31" x14ac:dyDescent="0.3">
      <c r="A33" s="5">
        <v>32</v>
      </c>
      <c r="B33" s="6" t="s">
        <v>252</v>
      </c>
      <c r="C33" s="6" t="s">
        <v>253</v>
      </c>
      <c r="D33" s="25" t="s">
        <v>254</v>
      </c>
      <c r="E33" s="5" t="s">
        <v>255</v>
      </c>
      <c r="F33" s="5">
        <v>72</v>
      </c>
      <c r="G33" s="6">
        <v>54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</row>
    <row r="34" spans="1:31" x14ac:dyDescent="0.3">
      <c r="D34" s="25"/>
    </row>
    <row r="35" spans="1:31" x14ac:dyDescent="0.3">
      <c r="D35" s="25"/>
    </row>
    <row r="36" spans="1:31" x14ac:dyDescent="0.3">
      <c r="D36" s="25"/>
    </row>
    <row r="37" spans="1:31" x14ac:dyDescent="0.3">
      <c r="D37" s="25"/>
    </row>
    <row r="38" spans="1:31" x14ac:dyDescent="0.3">
      <c r="D38" s="25"/>
    </row>
    <row r="39" spans="1:31" x14ac:dyDescent="0.3">
      <c r="D39" s="25"/>
    </row>
    <row r="40" spans="1:31" x14ac:dyDescent="0.3">
      <c r="D40" s="25"/>
    </row>
    <row r="41" spans="1:31" x14ac:dyDescent="0.3">
      <c r="D41" s="25"/>
    </row>
  </sheetData>
  <mergeCells count="1">
    <mergeCell ref="AH2:AJ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1C87-8591-4069-AA73-0EE4E4E9CCE1}">
  <sheetPr codeName="Sheet4"/>
  <dimension ref="A1:AN28"/>
  <sheetViews>
    <sheetView topLeftCell="BA1" workbookViewId="0">
      <selection activeCell="K66" sqref="K66"/>
    </sheetView>
  </sheetViews>
  <sheetFormatPr defaultRowHeight="12" x14ac:dyDescent="0.3"/>
  <cols>
    <col min="1" max="3" width="7.375" style="5" bestFit="1" customWidth="1"/>
    <col min="4" max="4" width="10.25" style="5" bestFit="1" customWidth="1"/>
    <col min="5" max="5" width="13.375" style="5" bestFit="1" customWidth="1"/>
    <col min="6" max="6" width="10.25" style="5" bestFit="1" customWidth="1"/>
    <col min="7" max="7" width="13.375" style="5" bestFit="1" customWidth="1"/>
    <col min="8" max="8" width="10.25" style="5" bestFit="1" customWidth="1"/>
    <col min="9" max="9" width="13.375" style="5" bestFit="1" customWidth="1"/>
    <col min="10" max="10" width="10.25" style="5" bestFit="1" customWidth="1"/>
    <col min="11" max="11" width="13.375" style="5" bestFit="1" customWidth="1"/>
    <col min="12" max="12" width="10.25" style="5" bestFit="1" customWidth="1"/>
    <col min="13" max="13" width="13.375" style="5" bestFit="1" customWidth="1"/>
    <col min="14" max="14" width="10.25" style="5" bestFit="1" customWidth="1"/>
    <col min="15" max="15" width="13.375" style="5" bestFit="1" customWidth="1"/>
    <col min="16" max="16" width="10.25" style="5" bestFit="1" customWidth="1"/>
    <col min="17" max="17" width="13.375" style="5" bestFit="1" customWidth="1"/>
    <col min="18" max="18" width="10.25" style="5" customWidth="1"/>
    <col min="19" max="19" width="13.375" style="5" bestFit="1" customWidth="1"/>
    <col min="20" max="20" width="10.25" style="5" bestFit="1" customWidth="1"/>
    <col min="21" max="21" width="13.375" style="5" bestFit="1" customWidth="1"/>
    <col min="22" max="22" width="11.25" style="5" bestFit="1" customWidth="1"/>
    <col min="23" max="23" width="14.25" style="5" bestFit="1" customWidth="1"/>
    <col min="24" max="24" width="9" style="5" bestFit="1" customWidth="1"/>
    <col min="25" max="25" width="6" style="5" bestFit="1" customWidth="1"/>
    <col min="26" max="26" width="3.625" style="19" customWidth="1"/>
    <col min="27" max="27" width="10.5" style="8" customWidth="1"/>
    <col min="28" max="28" width="3.625" style="8" customWidth="1"/>
    <col min="29" max="29" width="9" style="8"/>
    <col min="30" max="30" width="14.25" style="8" bestFit="1" customWidth="1"/>
    <col min="31" max="31" width="16.625" style="8" bestFit="1" customWidth="1"/>
    <col min="32" max="32" width="6" style="8" bestFit="1" customWidth="1"/>
    <col min="33" max="33" width="3" style="8" bestFit="1" customWidth="1"/>
    <col min="34" max="34" width="14.375" style="8" bestFit="1" customWidth="1"/>
    <col min="35" max="35" width="16.75" style="8" bestFit="1" customWidth="1"/>
    <col min="36" max="36" width="16.75" style="8" customWidth="1"/>
    <col min="37" max="40" width="17.875" style="8" customWidth="1"/>
    <col min="41" max="16384" width="9" style="8"/>
  </cols>
  <sheetData>
    <row r="1" spans="1:40" s="15" customFormat="1" x14ac:dyDescent="0.3">
      <c r="A1" s="1" t="s">
        <v>319</v>
      </c>
      <c r="B1" s="1" t="s">
        <v>320</v>
      </c>
      <c r="C1" s="1" t="s">
        <v>296</v>
      </c>
      <c r="D1" s="1" t="s">
        <v>103</v>
      </c>
      <c r="E1" s="1" t="s">
        <v>114</v>
      </c>
      <c r="F1" s="1" t="s">
        <v>104</v>
      </c>
      <c r="G1" s="1" t="s">
        <v>117</v>
      </c>
      <c r="H1" s="1" t="s">
        <v>105</v>
      </c>
      <c r="I1" s="1" t="s">
        <v>118</v>
      </c>
      <c r="J1" s="1" t="s">
        <v>106</v>
      </c>
      <c r="K1" s="1" t="s">
        <v>119</v>
      </c>
      <c r="L1" s="1" t="s">
        <v>107</v>
      </c>
      <c r="M1" s="1" t="s">
        <v>120</v>
      </c>
      <c r="N1" s="1" t="s">
        <v>108</v>
      </c>
      <c r="O1" s="1" t="s">
        <v>121</v>
      </c>
      <c r="P1" s="1" t="s">
        <v>109</v>
      </c>
      <c r="Q1" s="1" t="s">
        <v>122</v>
      </c>
      <c r="R1" s="1" t="s">
        <v>110</v>
      </c>
      <c r="S1" s="1" t="s">
        <v>123</v>
      </c>
      <c r="T1" s="1" t="s">
        <v>111</v>
      </c>
      <c r="U1" s="1" t="s">
        <v>124</v>
      </c>
      <c r="V1" s="1" t="s">
        <v>112</v>
      </c>
      <c r="W1" s="1" t="s">
        <v>125</v>
      </c>
      <c r="X1" s="1" t="s">
        <v>318</v>
      </c>
      <c r="Y1" s="1" t="s">
        <v>116</v>
      </c>
      <c r="Z1" s="18"/>
      <c r="AA1" s="15" t="s">
        <v>169</v>
      </c>
    </row>
    <row r="2" spans="1:40" x14ac:dyDescent="0.3">
      <c r="A2" s="5">
        <v>1</v>
      </c>
      <c r="B2" s="5">
        <v>1</v>
      </c>
      <c r="C2" s="5">
        <v>1</v>
      </c>
      <c r="D2" s="5">
        <v>1</v>
      </c>
      <c r="E2" s="5">
        <v>2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10000</v>
      </c>
      <c r="Y2" s="5">
        <v>1102</v>
      </c>
      <c r="AA2" s="8">
        <f t="shared" ref="AA2:AA8" si="0">SUM(E2,G2,I2,K2,M2,O2,Q2,S2,U2,W2)</f>
        <v>2</v>
      </c>
      <c r="AD2" s="33" t="s">
        <v>150</v>
      </c>
      <c r="AE2" s="34"/>
      <c r="AF2" s="35"/>
      <c r="AK2" s="38" t="s">
        <v>326</v>
      </c>
      <c r="AL2" s="38"/>
      <c r="AM2" s="38"/>
      <c r="AN2" s="38"/>
    </row>
    <row r="3" spans="1:40" x14ac:dyDescent="0.3">
      <c r="A3" s="5">
        <v>2</v>
      </c>
      <c r="B3" s="5">
        <v>1</v>
      </c>
      <c r="C3" s="5">
        <v>1</v>
      </c>
      <c r="D3" s="5">
        <v>1</v>
      </c>
      <c r="E3" s="5">
        <v>2</v>
      </c>
      <c r="F3" s="5">
        <v>2</v>
      </c>
      <c r="G3" s="5">
        <v>1</v>
      </c>
      <c r="H3" s="5">
        <v>3</v>
      </c>
      <c r="I3" s="5">
        <v>2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2000</v>
      </c>
      <c r="Y3" s="5">
        <v>1105</v>
      </c>
      <c r="AA3" s="8">
        <f t="shared" si="0"/>
        <v>5</v>
      </c>
      <c r="AD3" s="20" t="s">
        <v>1</v>
      </c>
      <c r="AE3" s="20" t="s">
        <v>4</v>
      </c>
      <c r="AF3" s="10" t="s">
        <v>10</v>
      </c>
      <c r="AK3" s="28" t="s">
        <v>322</v>
      </c>
      <c r="AL3" s="28" t="s">
        <v>323</v>
      </c>
      <c r="AM3" s="28" t="s">
        <v>324</v>
      </c>
      <c r="AN3" s="28" t="s">
        <v>325</v>
      </c>
    </row>
    <row r="4" spans="1:40" x14ac:dyDescent="0.3">
      <c r="A4" s="5">
        <v>2</v>
      </c>
      <c r="B4" s="5">
        <v>2</v>
      </c>
      <c r="C4" s="5">
        <v>1</v>
      </c>
      <c r="D4" s="5">
        <v>6</v>
      </c>
      <c r="E4" s="5">
        <v>5</v>
      </c>
      <c r="F4" s="5">
        <v>12</v>
      </c>
      <c r="G4" s="5">
        <v>2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2000</v>
      </c>
      <c r="Y4" s="5">
        <v>1107</v>
      </c>
      <c r="AA4" s="8">
        <f t="shared" si="0"/>
        <v>7</v>
      </c>
      <c r="AD4" s="20" t="s">
        <v>309</v>
      </c>
      <c r="AE4" s="20" t="s">
        <v>313</v>
      </c>
      <c r="AF4" s="10" t="s">
        <v>52</v>
      </c>
      <c r="AK4" s="27" t="s">
        <v>309</v>
      </c>
      <c r="AL4" s="27" t="s">
        <v>309</v>
      </c>
      <c r="AM4" s="27" t="s">
        <v>309</v>
      </c>
      <c r="AN4" s="27" t="s">
        <v>309</v>
      </c>
    </row>
    <row r="5" spans="1:40" x14ac:dyDescent="0.3">
      <c r="A5" s="5">
        <v>2</v>
      </c>
      <c r="B5" s="5">
        <v>3</v>
      </c>
      <c r="C5" s="5">
        <v>1</v>
      </c>
      <c r="D5" s="5">
        <v>4</v>
      </c>
      <c r="E5" s="5">
        <v>3</v>
      </c>
      <c r="F5" s="5">
        <v>8</v>
      </c>
      <c r="G5" s="5">
        <v>1</v>
      </c>
      <c r="H5" s="5">
        <v>12</v>
      </c>
      <c r="I5" s="5">
        <v>1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2000</v>
      </c>
      <c r="Y5" s="5">
        <v>1105</v>
      </c>
      <c r="AA5" s="8">
        <f t="shared" si="0"/>
        <v>5</v>
      </c>
      <c r="AD5" s="20" t="s">
        <v>310</v>
      </c>
      <c r="AE5" s="20" t="s">
        <v>128</v>
      </c>
      <c r="AF5" s="10" t="s">
        <v>317</v>
      </c>
      <c r="AK5" s="27" t="s">
        <v>101</v>
      </c>
      <c r="AL5" s="27" t="s">
        <v>101</v>
      </c>
      <c r="AM5" s="27" t="s">
        <v>101</v>
      </c>
      <c r="AN5" s="27" t="s">
        <v>101</v>
      </c>
    </row>
    <row r="6" spans="1:40" x14ac:dyDescent="0.3">
      <c r="A6" s="5">
        <v>2</v>
      </c>
      <c r="B6" s="5">
        <v>4</v>
      </c>
      <c r="C6" s="5">
        <v>1</v>
      </c>
      <c r="D6" s="5">
        <v>4</v>
      </c>
      <c r="E6" s="5">
        <v>1</v>
      </c>
      <c r="F6" s="5">
        <v>5</v>
      </c>
      <c r="G6" s="5">
        <v>1</v>
      </c>
      <c r="H6" s="5">
        <v>6</v>
      </c>
      <c r="I6" s="5">
        <v>1</v>
      </c>
      <c r="J6" s="5">
        <v>7</v>
      </c>
      <c r="K6" s="5">
        <v>1</v>
      </c>
      <c r="L6" s="5">
        <v>8</v>
      </c>
      <c r="M6" s="5">
        <v>1</v>
      </c>
      <c r="N6" s="5">
        <v>9</v>
      </c>
      <c r="O6" s="5">
        <v>1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2000</v>
      </c>
      <c r="Y6" s="5">
        <v>1106</v>
      </c>
      <c r="AA6" s="8">
        <f t="shared" si="0"/>
        <v>6</v>
      </c>
      <c r="AD6" s="20" t="s">
        <v>5</v>
      </c>
      <c r="AE6" s="20" t="s">
        <v>311</v>
      </c>
      <c r="AF6" s="10" t="s">
        <v>312</v>
      </c>
      <c r="AG6" s="8" t="s">
        <v>321</v>
      </c>
      <c r="AH6" s="36" t="s">
        <v>5</v>
      </c>
      <c r="AI6" s="37"/>
      <c r="AK6" s="28">
        <v>1</v>
      </c>
      <c r="AL6" s="28">
        <v>2</v>
      </c>
      <c r="AM6" s="28">
        <v>3</v>
      </c>
      <c r="AN6" s="28">
        <v>4</v>
      </c>
    </row>
    <row r="7" spans="1:40" x14ac:dyDescent="0.3">
      <c r="A7" s="5">
        <v>2</v>
      </c>
      <c r="B7" s="5">
        <v>5</v>
      </c>
      <c r="C7" s="5">
        <v>1</v>
      </c>
      <c r="D7" s="5">
        <v>1</v>
      </c>
      <c r="E7" s="5">
        <v>2</v>
      </c>
      <c r="F7" s="5">
        <v>9</v>
      </c>
      <c r="G7" s="5">
        <v>2</v>
      </c>
      <c r="H7" s="5">
        <v>13</v>
      </c>
      <c r="I7" s="5">
        <v>2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2000</v>
      </c>
      <c r="Y7" s="5">
        <v>1106</v>
      </c>
      <c r="AA7" s="8">
        <f t="shared" si="0"/>
        <v>6</v>
      </c>
      <c r="AD7" s="20" t="s">
        <v>102</v>
      </c>
      <c r="AE7" s="20" t="s">
        <v>129</v>
      </c>
      <c r="AF7" s="10" t="s">
        <v>12</v>
      </c>
      <c r="AH7" s="26">
        <v>1</v>
      </c>
      <c r="AI7" s="26" t="s">
        <v>322</v>
      </c>
      <c r="AK7" s="27" t="s">
        <v>102</v>
      </c>
      <c r="AL7" s="27" t="s">
        <v>102</v>
      </c>
      <c r="AM7" s="27" t="s">
        <v>327</v>
      </c>
      <c r="AN7" s="27" t="s">
        <v>328</v>
      </c>
    </row>
    <row r="8" spans="1:40" x14ac:dyDescent="0.3">
      <c r="A8" s="5">
        <v>3</v>
      </c>
      <c r="B8" s="5">
        <v>1</v>
      </c>
      <c r="C8" s="5">
        <v>2</v>
      </c>
      <c r="D8" s="5">
        <v>16</v>
      </c>
      <c r="E8" s="5">
        <v>1</v>
      </c>
      <c r="F8" s="5">
        <v>2</v>
      </c>
      <c r="G8" s="5">
        <v>2</v>
      </c>
      <c r="H8" s="5">
        <v>3</v>
      </c>
      <c r="I8" s="5">
        <v>2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10000</v>
      </c>
      <c r="Y8" s="5">
        <v>1101</v>
      </c>
      <c r="AA8" s="8">
        <f t="shared" si="0"/>
        <v>5</v>
      </c>
      <c r="AD8" s="20" t="s">
        <v>113</v>
      </c>
      <c r="AE8" s="20" t="s">
        <v>130</v>
      </c>
      <c r="AF8" s="10" t="s">
        <v>2</v>
      </c>
      <c r="AH8" s="20">
        <v>2</v>
      </c>
      <c r="AI8" s="20" t="s">
        <v>323</v>
      </c>
      <c r="AK8" s="27" t="s">
        <v>113</v>
      </c>
      <c r="AL8" s="27" t="s">
        <v>113</v>
      </c>
      <c r="AM8" s="27"/>
      <c r="AN8" s="27"/>
    </row>
    <row r="9" spans="1:40" x14ac:dyDescent="0.3">
      <c r="AD9" s="20" t="s">
        <v>104</v>
      </c>
      <c r="AE9" s="20" t="s">
        <v>131</v>
      </c>
      <c r="AF9" s="10" t="s">
        <v>12</v>
      </c>
      <c r="AH9" s="20">
        <v>3</v>
      </c>
      <c r="AI9" s="20" t="s">
        <v>324</v>
      </c>
      <c r="AK9" s="27" t="s">
        <v>104</v>
      </c>
      <c r="AL9" s="27" t="s">
        <v>104</v>
      </c>
      <c r="AM9" s="27"/>
      <c r="AN9" s="27"/>
    </row>
    <row r="10" spans="1:40" x14ac:dyDescent="0.3">
      <c r="AD10" s="20" t="s">
        <v>117</v>
      </c>
      <c r="AE10" s="20" t="s">
        <v>132</v>
      </c>
      <c r="AF10" s="10" t="s">
        <v>2</v>
      </c>
      <c r="AH10" s="20">
        <v>4</v>
      </c>
      <c r="AI10" s="20" t="s">
        <v>325</v>
      </c>
      <c r="AK10" s="27" t="s">
        <v>117</v>
      </c>
      <c r="AL10" s="27" t="s">
        <v>117</v>
      </c>
      <c r="AM10" s="27"/>
      <c r="AN10" s="27"/>
    </row>
    <row r="11" spans="1:40" x14ac:dyDescent="0.3">
      <c r="AD11" s="20" t="s">
        <v>105</v>
      </c>
      <c r="AE11" s="20" t="s">
        <v>133</v>
      </c>
      <c r="AF11" s="10" t="s">
        <v>12</v>
      </c>
      <c r="AK11" s="27" t="s">
        <v>105</v>
      </c>
      <c r="AL11" s="27" t="s">
        <v>105</v>
      </c>
      <c r="AM11" s="27"/>
      <c r="AN11" s="27"/>
    </row>
    <row r="12" spans="1:40" x14ac:dyDescent="0.3">
      <c r="AD12" s="20" t="s">
        <v>118</v>
      </c>
      <c r="AE12" s="20" t="s">
        <v>134</v>
      </c>
      <c r="AF12" s="10" t="s">
        <v>2</v>
      </c>
      <c r="AK12" s="27" t="s">
        <v>118</v>
      </c>
      <c r="AL12" s="27" t="s">
        <v>118</v>
      </c>
      <c r="AM12" s="27"/>
      <c r="AN12" s="27"/>
    </row>
    <row r="13" spans="1:40" x14ac:dyDescent="0.3">
      <c r="AD13" s="20" t="s">
        <v>106</v>
      </c>
      <c r="AE13" s="20" t="s">
        <v>135</v>
      </c>
      <c r="AF13" s="10" t="s">
        <v>12</v>
      </c>
      <c r="AK13" s="27" t="s">
        <v>106</v>
      </c>
      <c r="AL13" s="27" t="s">
        <v>106</v>
      </c>
      <c r="AM13" s="27"/>
      <c r="AN13" s="27"/>
    </row>
    <row r="14" spans="1:40" x14ac:dyDescent="0.3">
      <c r="AD14" s="20" t="s">
        <v>119</v>
      </c>
      <c r="AE14" s="20" t="s">
        <v>136</v>
      </c>
      <c r="AF14" s="10" t="s">
        <v>2</v>
      </c>
      <c r="AK14" s="27" t="s">
        <v>119</v>
      </c>
      <c r="AL14" s="27" t="s">
        <v>119</v>
      </c>
      <c r="AM14" s="27"/>
      <c r="AN14" s="27"/>
    </row>
    <row r="15" spans="1:40" x14ac:dyDescent="0.3">
      <c r="AD15" s="20" t="s">
        <v>107</v>
      </c>
      <c r="AE15" s="20" t="s">
        <v>137</v>
      </c>
      <c r="AF15" s="10" t="s">
        <v>12</v>
      </c>
      <c r="AK15" s="27" t="s">
        <v>107</v>
      </c>
      <c r="AL15" s="27" t="s">
        <v>107</v>
      </c>
      <c r="AM15" s="27"/>
      <c r="AN15" s="27"/>
    </row>
    <row r="16" spans="1:40" x14ac:dyDescent="0.3">
      <c r="AD16" s="20" t="s">
        <v>120</v>
      </c>
      <c r="AE16" s="20" t="s">
        <v>138</v>
      </c>
      <c r="AF16" s="10" t="s">
        <v>2</v>
      </c>
      <c r="AK16" s="27" t="s">
        <v>120</v>
      </c>
      <c r="AL16" s="27" t="s">
        <v>120</v>
      </c>
      <c r="AM16" s="27"/>
      <c r="AN16" s="27"/>
    </row>
    <row r="17" spans="30:40" x14ac:dyDescent="0.3">
      <c r="AD17" s="20" t="s">
        <v>108</v>
      </c>
      <c r="AE17" s="20" t="s">
        <v>139</v>
      </c>
      <c r="AF17" s="10" t="s">
        <v>12</v>
      </c>
      <c r="AK17" s="27" t="s">
        <v>108</v>
      </c>
      <c r="AL17" s="27" t="s">
        <v>108</v>
      </c>
      <c r="AM17" s="27"/>
      <c r="AN17" s="27"/>
    </row>
    <row r="18" spans="30:40" x14ac:dyDescent="0.3">
      <c r="AD18" s="20" t="s">
        <v>121</v>
      </c>
      <c r="AE18" s="20" t="s">
        <v>140</v>
      </c>
      <c r="AF18" s="10" t="s">
        <v>2</v>
      </c>
      <c r="AK18" s="27" t="s">
        <v>121</v>
      </c>
      <c r="AL18" s="27" t="s">
        <v>121</v>
      </c>
      <c r="AM18" s="27"/>
      <c r="AN18" s="27"/>
    </row>
    <row r="19" spans="30:40" x14ac:dyDescent="0.3">
      <c r="AD19" s="20" t="s">
        <v>109</v>
      </c>
      <c r="AE19" s="20" t="s">
        <v>141</v>
      </c>
      <c r="AF19" s="10" t="s">
        <v>12</v>
      </c>
      <c r="AK19" s="27" t="s">
        <v>109</v>
      </c>
      <c r="AL19" s="27" t="s">
        <v>109</v>
      </c>
      <c r="AM19" s="27"/>
      <c r="AN19" s="27"/>
    </row>
    <row r="20" spans="30:40" x14ac:dyDescent="0.3">
      <c r="AD20" s="20" t="s">
        <v>122</v>
      </c>
      <c r="AE20" s="20" t="s">
        <v>142</v>
      </c>
      <c r="AF20" s="10" t="s">
        <v>2</v>
      </c>
      <c r="AK20" s="27" t="s">
        <v>122</v>
      </c>
      <c r="AL20" s="27" t="s">
        <v>122</v>
      </c>
      <c r="AM20" s="27"/>
      <c r="AN20" s="27"/>
    </row>
    <row r="21" spans="30:40" x14ac:dyDescent="0.3">
      <c r="AD21" s="20" t="s">
        <v>110</v>
      </c>
      <c r="AE21" s="20" t="s">
        <v>143</v>
      </c>
      <c r="AF21" s="10" t="s">
        <v>12</v>
      </c>
      <c r="AK21" s="27" t="s">
        <v>110</v>
      </c>
      <c r="AL21" s="27" t="s">
        <v>110</v>
      </c>
      <c r="AM21" s="27"/>
      <c r="AN21" s="27"/>
    </row>
    <row r="22" spans="30:40" x14ac:dyDescent="0.3">
      <c r="AD22" s="20" t="s">
        <v>123</v>
      </c>
      <c r="AE22" s="20" t="s">
        <v>144</v>
      </c>
      <c r="AF22" s="10" t="s">
        <v>2</v>
      </c>
      <c r="AK22" s="27" t="s">
        <v>123</v>
      </c>
      <c r="AL22" s="27" t="s">
        <v>123</v>
      </c>
      <c r="AM22" s="27"/>
      <c r="AN22" s="27"/>
    </row>
    <row r="23" spans="30:40" x14ac:dyDescent="0.3">
      <c r="AD23" s="20" t="s">
        <v>111</v>
      </c>
      <c r="AE23" s="20" t="s">
        <v>145</v>
      </c>
      <c r="AF23" s="10" t="s">
        <v>12</v>
      </c>
      <c r="AK23" s="27" t="s">
        <v>111</v>
      </c>
      <c r="AL23" s="27" t="s">
        <v>111</v>
      </c>
      <c r="AM23" s="27"/>
      <c r="AN23" s="27"/>
    </row>
    <row r="24" spans="30:40" x14ac:dyDescent="0.3">
      <c r="AD24" s="20" t="s">
        <v>124</v>
      </c>
      <c r="AE24" s="20" t="s">
        <v>146</v>
      </c>
      <c r="AF24" s="10" t="s">
        <v>2</v>
      </c>
      <c r="AK24" s="27" t="s">
        <v>124</v>
      </c>
      <c r="AL24" s="27" t="s">
        <v>124</v>
      </c>
      <c r="AM24" s="27"/>
      <c r="AN24" s="27"/>
    </row>
    <row r="25" spans="30:40" x14ac:dyDescent="0.3">
      <c r="AD25" s="20" t="s">
        <v>112</v>
      </c>
      <c r="AE25" s="20" t="s">
        <v>147</v>
      </c>
      <c r="AF25" s="10" t="s">
        <v>12</v>
      </c>
      <c r="AK25" s="27" t="s">
        <v>112</v>
      </c>
      <c r="AL25" s="27" t="s">
        <v>112</v>
      </c>
      <c r="AM25" s="27"/>
      <c r="AN25" s="27"/>
    </row>
    <row r="26" spans="30:40" x14ac:dyDescent="0.3">
      <c r="AD26" s="20" t="s">
        <v>125</v>
      </c>
      <c r="AE26" s="20" t="s">
        <v>148</v>
      </c>
      <c r="AF26" s="10" t="s">
        <v>2</v>
      </c>
      <c r="AK26" s="27" t="s">
        <v>125</v>
      </c>
      <c r="AL26" s="27" t="s">
        <v>125</v>
      </c>
      <c r="AM26" s="27"/>
      <c r="AN26" s="27"/>
    </row>
    <row r="27" spans="30:40" x14ac:dyDescent="0.3">
      <c r="AD27" s="20" t="s">
        <v>314</v>
      </c>
      <c r="AE27" s="20" t="s">
        <v>315</v>
      </c>
      <c r="AF27" s="10" t="s">
        <v>316</v>
      </c>
      <c r="AK27" s="27" t="s">
        <v>314</v>
      </c>
      <c r="AL27" s="27"/>
      <c r="AM27" s="27" t="s">
        <v>314</v>
      </c>
      <c r="AN27" s="27" t="s">
        <v>314</v>
      </c>
    </row>
    <row r="28" spans="30:40" x14ac:dyDescent="0.3">
      <c r="AD28" s="20" t="s">
        <v>115</v>
      </c>
      <c r="AE28" s="20" t="s">
        <v>149</v>
      </c>
      <c r="AF28" s="10" t="s">
        <v>12</v>
      </c>
      <c r="AG28" s="8" t="s">
        <v>321</v>
      </c>
      <c r="AH28" s="8" t="s">
        <v>218</v>
      </c>
      <c r="AK28" s="27" t="s">
        <v>115</v>
      </c>
      <c r="AL28" s="27" t="s">
        <v>115</v>
      </c>
      <c r="AM28" s="27"/>
      <c r="AN28" s="27"/>
    </row>
  </sheetData>
  <mergeCells count="3">
    <mergeCell ref="AD2:AF2"/>
    <mergeCell ref="AH6:AI6"/>
    <mergeCell ref="AK2:AN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6F5F7-5BB8-4676-8F5B-41A30A2B5C09}">
  <sheetPr codeName="Sheet5"/>
  <dimension ref="A1:M100"/>
  <sheetViews>
    <sheetView workbookViewId="0">
      <selection activeCell="T26" sqref="T26"/>
    </sheetView>
  </sheetViews>
  <sheetFormatPr defaultRowHeight="12" x14ac:dyDescent="0.3"/>
  <cols>
    <col min="1" max="3" width="9" style="41"/>
    <col min="4" max="4" width="15.625" style="41" bestFit="1" customWidth="1"/>
    <col min="5" max="5" width="9" style="41"/>
    <col min="6" max="6" width="2.75" style="39" customWidth="1"/>
    <col min="7" max="7" width="9" style="8"/>
    <col min="8" max="8" width="14.25" style="8" bestFit="1" customWidth="1"/>
    <col min="9" max="9" width="16.625" style="8" bestFit="1" customWidth="1"/>
    <col min="10" max="10" width="6" style="8" bestFit="1" customWidth="1"/>
    <col min="11" max="12" width="9" style="8"/>
    <col min="13" max="13" width="17.5" style="8" bestFit="1" customWidth="1"/>
    <col min="14" max="16384" width="9" style="8"/>
  </cols>
  <sheetData>
    <row r="1" spans="1:13" x14ac:dyDescent="0.3">
      <c r="A1" s="40" t="s">
        <v>5</v>
      </c>
      <c r="B1" s="40" t="s">
        <v>152</v>
      </c>
      <c r="C1" s="40" t="s">
        <v>346</v>
      </c>
      <c r="D1" s="40" t="s">
        <v>154</v>
      </c>
      <c r="E1" s="40" t="s">
        <v>344</v>
      </c>
      <c r="L1" s="40" t="s">
        <v>346</v>
      </c>
      <c r="M1" s="1" t="s">
        <v>154</v>
      </c>
    </row>
    <row r="2" spans="1:13" x14ac:dyDescent="0.3">
      <c r="A2" s="41">
        <v>1</v>
      </c>
      <c r="B2" s="41">
        <v>1</v>
      </c>
      <c r="C2" s="41">
        <v>1</v>
      </c>
      <c r="D2" s="41">
        <f>INDEX(M:M,MATCH(C2,L:L,0))</f>
        <v>8</v>
      </c>
      <c r="E2" s="41">
        <v>0</v>
      </c>
      <c r="L2" s="5">
        <v>1</v>
      </c>
      <c r="M2" s="5">
        <v>8</v>
      </c>
    </row>
    <row r="3" spans="1:13" x14ac:dyDescent="0.3">
      <c r="A3" s="41">
        <v>1</v>
      </c>
      <c r="B3" s="41">
        <v>2</v>
      </c>
      <c r="C3" s="41">
        <v>1</v>
      </c>
      <c r="D3" s="41">
        <f t="shared" ref="D3:D21" si="0">INDEX(M:M,MATCH(C3,L:L,0))</f>
        <v>8</v>
      </c>
      <c r="E3" s="41">
        <f>-E2</f>
        <v>0</v>
      </c>
      <c r="H3" s="33" t="s">
        <v>350</v>
      </c>
      <c r="I3" s="34"/>
      <c r="J3" s="35"/>
      <c r="L3" s="5">
        <v>2</v>
      </c>
      <c r="M3" s="5">
        <v>10</v>
      </c>
    </row>
    <row r="4" spans="1:13" x14ac:dyDescent="0.3">
      <c r="A4" s="41">
        <v>1</v>
      </c>
      <c r="B4" s="41">
        <v>3</v>
      </c>
      <c r="C4" s="41">
        <v>2</v>
      </c>
      <c r="D4" s="41">
        <f t="shared" si="0"/>
        <v>10</v>
      </c>
      <c r="E4" s="41">
        <v>2</v>
      </c>
      <c r="H4" s="20" t="s">
        <v>1</v>
      </c>
      <c r="I4" s="20" t="s">
        <v>4</v>
      </c>
      <c r="J4" s="10" t="s">
        <v>10</v>
      </c>
      <c r="L4" s="5">
        <v>3</v>
      </c>
      <c r="M4" s="5">
        <v>12</v>
      </c>
    </row>
    <row r="5" spans="1:13" x14ac:dyDescent="0.3">
      <c r="A5" s="41">
        <v>1</v>
      </c>
      <c r="B5" s="41">
        <v>4</v>
      </c>
      <c r="C5" s="41">
        <v>2</v>
      </c>
      <c r="D5" s="41">
        <f t="shared" si="0"/>
        <v>10</v>
      </c>
      <c r="E5" s="41">
        <v>2</v>
      </c>
      <c r="H5" s="20" t="s">
        <v>296</v>
      </c>
      <c r="I5" s="20" t="s">
        <v>313</v>
      </c>
      <c r="J5" s="10" t="s">
        <v>52</v>
      </c>
      <c r="L5" s="5">
        <v>4</v>
      </c>
      <c r="M5" s="5">
        <v>15</v>
      </c>
    </row>
    <row r="6" spans="1:13" x14ac:dyDescent="0.3">
      <c r="A6" s="41">
        <v>1</v>
      </c>
      <c r="B6" s="41">
        <v>5</v>
      </c>
      <c r="C6" s="41">
        <v>3</v>
      </c>
      <c r="D6" s="41">
        <f t="shared" si="0"/>
        <v>12</v>
      </c>
      <c r="E6" s="41">
        <v>4</v>
      </c>
      <c r="H6" s="20" t="s">
        <v>151</v>
      </c>
      <c r="I6" s="20" t="s">
        <v>347</v>
      </c>
      <c r="J6" s="10" t="s">
        <v>2</v>
      </c>
      <c r="L6" s="5">
        <v>5</v>
      </c>
      <c r="M6" s="5">
        <v>18</v>
      </c>
    </row>
    <row r="7" spans="1:13" x14ac:dyDescent="0.3">
      <c r="A7" s="41">
        <v>1</v>
      </c>
      <c r="B7" s="41">
        <v>6</v>
      </c>
      <c r="C7" s="41">
        <v>3</v>
      </c>
      <c r="D7" s="41">
        <f t="shared" si="0"/>
        <v>12</v>
      </c>
      <c r="E7" s="41">
        <v>4</v>
      </c>
      <c r="H7" s="20" t="s">
        <v>345</v>
      </c>
      <c r="I7" s="20" t="s">
        <v>348</v>
      </c>
      <c r="J7" s="10" t="s">
        <v>2</v>
      </c>
      <c r="L7" s="5">
        <v>6</v>
      </c>
      <c r="M7" s="5">
        <v>21</v>
      </c>
    </row>
    <row r="8" spans="1:13" x14ac:dyDescent="0.3">
      <c r="A8" s="41">
        <v>1</v>
      </c>
      <c r="B8" s="41">
        <v>7</v>
      </c>
      <c r="C8" s="41">
        <v>4</v>
      </c>
      <c r="D8" s="41">
        <f t="shared" si="0"/>
        <v>15</v>
      </c>
      <c r="E8" s="41">
        <v>6</v>
      </c>
      <c r="H8" s="10" t="s">
        <v>153</v>
      </c>
      <c r="I8" s="10" t="s">
        <v>157</v>
      </c>
      <c r="J8" s="10" t="s">
        <v>2</v>
      </c>
      <c r="L8" s="5">
        <v>7</v>
      </c>
      <c r="M8" s="5">
        <v>25</v>
      </c>
    </row>
    <row r="9" spans="1:13" x14ac:dyDescent="0.3">
      <c r="A9" s="41">
        <v>1</v>
      </c>
      <c r="B9" s="41">
        <v>8</v>
      </c>
      <c r="C9" s="41">
        <v>4</v>
      </c>
      <c r="D9" s="41">
        <f t="shared" si="0"/>
        <v>15</v>
      </c>
      <c r="E9" s="41">
        <v>6</v>
      </c>
      <c r="H9" s="20" t="s">
        <v>343</v>
      </c>
      <c r="I9" s="20" t="s">
        <v>349</v>
      </c>
      <c r="J9" s="10" t="s">
        <v>2</v>
      </c>
      <c r="L9" s="5">
        <v>8</v>
      </c>
      <c r="M9" s="5">
        <v>29</v>
      </c>
    </row>
    <row r="10" spans="1:13" x14ac:dyDescent="0.3">
      <c r="A10" s="41">
        <v>1</v>
      </c>
      <c r="B10" s="41">
        <v>9</v>
      </c>
      <c r="C10" s="41">
        <v>5</v>
      </c>
      <c r="D10" s="41">
        <f t="shared" si="0"/>
        <v>18</v>
      </c>
      <c r="E10" s="41">
        <v>8</v>
      </c>
      <c r="L10" s="5">
        <v>9</v>
      </c>
      <c r="M10" s="5">
        <v>33</v>
      </c>
    </row>
    <row r="11" spans="1:13" x14ac:dyDescent="0.3">
      <c r="A11" s="41">
        <v>1</v>
      </c>
      <c r="B11" s="41">
        <v>10</v>
      </c>
      <c r="C11" s="41">
        <v>5</v>
      </c>
      <c r="D11" s="41">
        <f t="shared" si="0"/>
        <v>18</v>
      </c>
      <c r="E11" s="41">
        <v>8</v>
      </c>
      <c r="L11" s="5">
        <v>10</v>
      </c>
      <c r="M11" s="5">
        <v>37</v>
      </c>
    </row>
    <row r="12" spans="1:13" x14ac:dyDescent="0.3">
      <c r="A12" s="41">
        <v>1</v>
      </c>
      <c r="B12" s="41">
        <v>11</v>
      </c>
      <c r="C12" s="41">
        <v>6</v>
      </c>
      <c r="D12" s="41">
        <f t="shared" si="0"/>
        <v>21</v>
      </c>
      <c r="E12" s="41">
        <v>10</v>
      </c>
      <c r="L12" s="5">
        <v>11</v>
      </c>
      <c r="M12" s="5">
        <v>41</v>
      </c>
    </row>
    <row r="13" spans="1:13" x14ac:dyDescent="0.3">
      <c r="A13" s="41">
        <v>1</v>
      </c>
      <c r="B13" s="41">
        <v>12</v>
      </c>
      <c r="C13" s="41">
        <v>6</v>
      </c>
      <c r="D13" s="41">
        <f t="shared" si="0"/>
        <v>21</v>
      </c>
      <c r="E13" s="41">
        <v>10</v>
      </c>
      <c r="L13" s="5">
        <v>12</v>
      </c>
      <c r="M13" s="5">
        <v>45</v>
      </c>
    </row>
    <row r="14" spans="1:13" x14ac:dyDescent="0.3">
      <c r="A14" s="41">
        <v>1</v>
      </c>
      <c r="B14" s="41">
        <v>13</v>
      </c>
      <c r="C14" s="41">
        <v>7</v>
      </c>
      <c r="D14" s="41">
        <f t="shared" si="0"/>
        <v>25</v>
      </c>
      <c r="E14" s="41">
        <v>12</v>
      </c>
      <c r="L14" s="5">
        <v>13</v>
      </c>
      <c r="M14" s="5">
        <v>50</v>
      </c>
    </row>
    <row r="15" spans="1:13" x14ac:dyDescent="0.3">
      <c r="A15" s="41">
        <v>1</v>
      </c>
      <c r="B15" s="41">
        <v>14</v>
      </c>
      <c r="C15" s="41">
        <v>7</v>
      </c>
      <c r="D15" s="41">
        <f t="shared" si="0"/>
        <v>25</v>
      </c>
      <c r="E15" s="41">
        <v>12</v>
      </c>
      <c r="L15" s="5">
        <v>14</v>
      </c>
      <c r="M15" s="5">
        <v>55</v>
      </c>
    </row>
    <row r="16" spans="1:13" x14ac:dyDescent="0.3">
      <c r="A16" s="41">
        <v>1</v>
      </c>
      <c r="B16" s="41">
        <v>15</v>
      </c>
      <c r="C16" s="41">
        <v>8</v>
      </c>
      <c r="D16" s="41">
        <f t="shared" si="0"/>
        <v>29</v>
      </c>
      <c r="E16" s="41">
        <v>14</v>
      </c>
      <c r="L16" s="5">
        <v>15</v>
      </c>
      <c r="M16" s="5">
        <v>60</v>
      </c>
    </row>
    <row r="17" spans="1:13" x14ac:dyDescent="0.3">
      <c r="A17" s="41">
        <v>1</v>
      </c>
      <c r="B17" s="41">
        <v>16</v>
      </c>
      <c r="C17" s="41">
        <v>8</v>
      </c>
      <c r="D17" s="41">
        <f t="shared" si="0"/>
        <v>29</v>
      </c>
      <c r="E17" s="41">
        <v>14</v>
      </c>
      <c r="L17" s="5">
        <v>16</v>
      </c>
      <c r="M17" s="5">
        <v>65</v>
      </c>
    </row>
    <row r="18" spans="1:13" x14ac:dyDescent="0.3">
      <c r="A18" s="41">
        <v>1</v>
      </c>
      <c r="B18" s="41">
        <v>17</v>
      </c>
      <c r="C18" s="41">
        <v>9</v>
      </c>
      <c r="D18" s="41">
        <f t="shared" si="0"/>
        <v>33</v>
      </c>
      <c r="E18" s="41">
        <v>16</v>
      </c>
      <c r="L18" s="5">
        <v>17</v>
      </c>
      <c r="M18" s="5">
        <v>70</v>
      </c>
    </row>
    <row r="19" spans="1:13" x14ac:dyDescent="0.3">
      <c r="A19" s="41">
        <v>1</v>
      </c>
      <c r="B19" s="41">
        <v>18</v>
      </c>
      <c r="C19" s="41">
        <v>9</v>
      </c>
      <c r="D19" s="41">
        <f t="shared" si="0"/>
        <v>33</v>
      </c>
      <c r="E19" s="41">
        <v>16</v>
      </c>
      <c r="L19" s="5">
        <v>18</v>
      </c>
      <c r="M19" s="5">
        <v>75</v>
      </c>
    </row>
    <row r="20" spans="1:13" x14ac:dyDescent="0.3">
      <c r="A20" s="41">
        <v>1</v>
      </c>
      <c r="B20" s="41">
        <v>19</v>
      </c>
      <c r="C20" s="41">
        <v>10</v>
      </c>
      <c r="D20" s="41">
        <f t="shared" si="0"/>
        <v>37</v>
      </c>
      <c r="E20" s="41">
        <v>18</v>
      </c>
      <c r="L20" s="5">
        <v>19</v>
      </c>
      <c r="M20" s="5">
        <v>80</v>
      </c>
    </row>
    <row r="21" spans="1:13" x14ac:dyDescent="0.3">
      <c r="A21" s="41">
        <v>1</v>
      </c>
      <c r="B21" s="41">
        <v>20</v>
      </c>
      <c r="C21" s="41">
        <v>10</v>
      </c>
      <c r="D21" s="41">
        <f t="shared" si="0"/>
        <v>37</v>
      </c>
      <c r="E21" s="41">
        <v>18</v>
      </c>
      <c r="L21" s="5">
        <v>20</v>
      </c>
      <c r="M21" s="5">
        <v>85</v>
      </c>
    </row>
    <row r="22" spans="1:13" x14ac:dyDescent="0.3">
      <c r="L22" s="5">
        <v>21</v>
      </c>
      <c r="M22" s="5">
        <v>90</v>
      </c>
    </row>
    <row r="23" spans="1:13" x14ac:dyDescent="0.3">
      <c r="L23" s="5">
        <v>22</v>
      </c>
      <c r="M23" s="5">
        <v>95</v>
      </c>
    </row>
    <row r="24" spans="1:13" x14ac:dyDescent="0.3">
      <c r="L24" s="5">
        <v>23</v>
      </c>
      <c r="M24" s="5">
        <v>100</v>
      </c>
    </row>
    <row r="25" spans="1:13" x14ac:dyDescent="0.3">
      <c r="L25" s="5">
        <v>24</v>
      </c>
      <c r="M25" s="5">
        <v>105</v>
      </c>
    </row>
    <row r="26" spans="1:13" x14ac:dyDescent="0.3">
      <c r="L26" s="5">
        <v>25</v>
      </c>
      <c r="M26" s="5">
        <v>110</v>
      </c>
    </row>
    <row r="27" spans="1:13" x14ac:dyDescent="0.3">
      <c r="L27" s="5">
        <v>26</v>
      </c>
      <c r="M27" s="5">
        <v>115</v>
      </c>
    </row>
    <row r="28" spans="1:13" x14ac:dyDescent="0.3">
      <c r="L28" s="5">
        <v>27</v>
      </c>
      <c r="M28" s="5">
        <v>120</v>
      </c>
    </row>
    <row r="29" spans="1:13" x14ac:dyDescent="0.3">
      <c r="L29" s="5">
        <v>28</v>
      </c>
      <c r="M29" s="5">
        <v>125</v>
      </c>
    </row>
    <row r="30" spans="1:13" x14ac:dyDescent="0.3">
      <c r="L30" s="5">
        <v>29</v>
      </c>
      <c r="M30" s="5">
        <v>130</v>
      </c>
    </row>
    <row r="31" spans="1:13" x14ac:dyDescent="0.3">
      <c r="L31" s="5">
        <v>30</v>
      </c>
      <c r="M31" s="5">
        <v>135</v>
      </c>
    </row>
    <row r="32" spans="1:13" x14ac:dyDescent="0.3">
      <c r="L32" s="5">
        <v>31</v>
      </c>
      <c r="M32" s="5">
        <v>140</v>
      </c>
    </row>
    <row r="33" spans="12:13" x14ac:dyDescent="0.3">
      <c r="L33" s="5">
        <v>32</v>
      </c>
      <c r="M33" s="5">
        <v>145</v>
      </c>
    </row>
    <row r="34" spans="12:13" x14ac:dyDescent="0.3">
      <c r="L34" s="5">
        <v>33</v>
      </c>
      <c r="M34" s="5">
        <v>150</v>
      </c>
    </row>
    <row r="35" spans="12:13" x14ac:dyDescent="0.3">
      <c r="L35" s="5">
        <v>34</v>
      </c>
      <c r="M35" s="5">
        <v>155</v>
      </c>
    </row>
    <row r="36" spans="12:13" x14ac:dyDescent="0.3">
      <c r="L36" s="5">
        <v>35</v>
      </c>
      <c r="M36" s="5">
        <v>160</v>
      </c>
    </row>
    <row r="37" spans="12:13" x14ac:dyDescent="0.3">
      <c r="L37" s="5">
        <v>36</v>
      </c>
      <c r="M37" s="5">
        <v>165</v>
      </c>
    </row>
    <row r="38" spans="12:13" x14ac:dyDescent="0.3">
      <c r="L38" s="5">
        <v>37</v>
      </c>
      <c r="M38" s="5">
        <v>170</v>
      </c>
    </row>
    <row r="39" spans="12:13" x14ac:dyDescent="0.3">
      <c r="L39" s="5">
        <v>38</v>
      </c>
      <c r="M39" s="5">
        <v>175</v>
      </c>
    </row>
    <row r="40" spans="12:13" x14ac:dyDescent="0.3">
      <c r="L40" s="5">
        <v>39</v>
      </c>
      <c r="M40" s="5">
        <v>180</v>
      </c>
    </row>
    <row r="41" spans="12:13" x14ac:dyDescent="0.3">
      <c r="L41" s="5">
        <v>40</v>
      </c>
      <c r="M41" s="5">
        <v>185</v>
      </c>
    </row>
    <row r="42" spans="12:13" x14ac:dyDescent="0.3">
      <c r="L42" s="5">
        <v>41</v>
      </c>
      <c r="M42" s="5">
        <v>190</v>
      </c>
    </row>
    <row r="43" spans="12:13" x14ac:dyDescent="0.3">
      <c r="L43" s="5">
        <v>42</v>
      </c>
      <c r="M43" s="5">
        <v>195</v>
      </c>
    </row>
    <row r="44" spans="12:13" x14ac:dyDescent="0.3">
      <c r="L44" s="5">
        <v>43</v>
      </c>
      <c r="M44" s="5">
        <v>200</v>
      </c>
    </row>
    <row r="45" spans="12:13" x14ac:dyDescent="0.3">
      <c r="L45" s="5">
        <v>44</v>
      </c>
      <c r="M45" s="5">
        <v>205</v>
      </c>
    </row>
    <row r="46" spans="12:13" x14ac:dyDescent="0.3">
      <c r="L46" s="5">
        <v>45</v>
      </c>
      <c r="M46" s="5">
        <v>210</v>
      </c>
    </row>
    <row r="47" spans="12:13" x14ac:dyDescent="0.3">
      <c r="L47" s="5">
        <v>46</v>
      </c>
      <c r="M47" s="5">
        <v>215</v>
      </c>
    </row>
    <row r="48" spans="12:13" x14ac:dyDescent="0.3">
      <c r="L48" s="5">
        <v>47</v>
      </c>
      <c r="M48" s="5">
        <v>220</v>
      </c>
    </row>
    <row r="49" spans="12:13" x14ac:dyDescent="0.3">
      <c r="L49" s="5">
        <v>48</v>
      </c>
      <c r="M49" s="5">
        <v>225</v>
      </c>
    </row>
    <row r="50" spans="12:13" x14ac:dyDescent="0.3">
      <c r="L50" s="5">
        <v>49</v>
      </c>
      <c r="M50" s="5">
        <v>230</v>
      </c>
    </row>
    <row r="51" spans="12:13" x14ac:dyDescent="0.3">
      <c r="L51" s="5">
        <v>50</v>
      </c>
      <c r="M51" s="5">
        <v>235</v>
      </c>
    </row>
    <row r="52" spans="12:13" x14ac:dyDescent="0.3">
      <c r="L52" s="5">
        <v>51</v>
      </c>
      <c r="M52" s="5">
        <v>240</v>
      </c>
    </row>
    <row r="53" spans="12:13" x14ac:dyDescent="0.3">
      <c r="L53" s="5">
        <v>52</v>
      </c>
      <c r="M53" s="5">
        <v>245</v>
      </c>
    </row>
    <row r="54" spans="12:13" x14ac:dyDescent="0.3">
      <c r="L54" s="5">
        <v>53</v>
      </c>
      <c r="M54" s="5">
        <v>250</v>
      </c>
    </row>
    <row r="55" spans="12:13" x14ac:dyDescent="0.3">
      <c r="L55" s="5">
        <v>54</v>
      </c>
      <c r="M55" s="5">
        <v>255</v>
      </c>
    </row>
    <row r="56" spans="12:13" x14ac:dyDescent="0.3">
      <c r="L56" s="5">
        <v>55</v>
      </c>
      <c r="M56" s="5">
        <v>260</v>
      </c>
    </row>
    <row r="57" spans="12:13" x14ac:dyDescent="0.3">
      <c r="L57" s="5">
        <v>56</v>
      </c>
      <c r="M57" s="5">
        <v>265</v>
      </c>
    </row>
    <row r="58" spans="12:13" x14ac:dyDescent="0.3">
      <c r="L58" s="5">
        <v>57</v>
      </c>
      <c r="M58" s="5">
        <v>270</v>
      </c>
    </row>
    <row r="59" spans="12:13" x14ac:dyDescent="0.3">
      <c r="L59" s="5">
        <v>58</v>
      </c>
      <c r="M59" s="5">
        <v>275</v>
      </c>
    </row>
    <row r="60" spans="12:13" x14ac:dyDescent="0.3">
      <c r="L60" s="5">
        <v>59</v>
      </c>
      <c r="M60" s="5">
        <v>280</v>
      </c>
    </row>
    <row r="61" spans="12:13" x14ac:dyDescent="0.3">
      <c r="L61" s="5">
        <v>60</v>
      </c>
      <c r="M61" s="5">
        <v>285</v>
      </c>
    </row>
    <row r="62" spans="12:13" x14ac:dyDescent="0.3">
      <c r="L62" s="5">
        <v>61</v>
      </c>
      <c r="M62" s="5">
        <v>290</v>
      </c>
    </row>
    <row r="63" spans="12:13" x14ac:dyDescent="0.3">
      <c r="L63" s="5">
        <v>62</v>
      </c>
      <c r="M63" s="5">
        <v>295</v>
      </c>
    </row>
    <row r="64" spans="12:13" x14ac:dyDescent="0.3">
      <c r="L64" s="5">
        <v>63</v>
      </c>
      <c r="M64" s="5">
        <v>300</v>
      </c>
    </row>
    <row r="65" spans="12:13" x14ac:dyDescent="0.3">
      <c r="L65" s="5">
        <v>64</v>
      </c>
      <c r="M65" s="5">
        <v>305</v>
      </c>
    </row>
    <row r="66" spans="12:13" x14ac:dyDescent="0.3">
      <c r="L66" s="5">
        <v>65</v>
      </c>
      <c r="M66" s="5">
        <v>310</v>
      </c>
    </row>
    <row r="67" spans="12:13" x14ac:dyDescent="0.3">
      <c r="L67" s="5">
        <v>66</v>
      </c>
      <c r="M67" s="5">
        <v>315</v>
      </c>
    </row>
    <row r="68" spans="12:13" x14ac:dyDescent="0.3">
      <c r="L68" s="5">
        <v>67</v>
      </c>
      <c r="M68" s="5">
        <v>320</v>
      </c>
    </row>
    <row r="69" spans="12:13" x14ac:dyDescent="0.3">
      <c r="L69" s="5">
        <v>68</v>
      </c>
      <c r="M69" s="5">
        <v>325</v>
      </c>
    </row>
    <row r="70" spans="12:13" x14ac:dyDescent="0.3">
      <c r="L70" s="5">
        <v>69</v>
      </c>
      <c r="M70" s="5">
        <v>330</v>
      </c>
    </row>
    <row r="71" spans="12:13" x14ac:dyDescent="0.3">
      <c r="L71" s="5">
        <v>70</v>
      </c>
      <c r="M71" s="5">
        <v>335</v>
      </c>
    </row>
    <row r="72" spans="12:13" x14ac:dyDescent="0.3">
      <c r="L72" s="5">
        <v>71</v>
      </c>
      <c r="M72" s="5">
        <v>340</v>
      </c>
    </row>
    <row r="73" spans="12:13" x14ac:dyDescent="0.3">
      <c r="L73" s="5">
        <v>72</v>
      </c>
      <c r="M73" s="5">
        <v>345</v>
      </c>
    </row>
    <row r="74" spans="12:13" x14ac:dyDescent="0.3">
      <c r="L74" s="5">
        <v>73</v>
      </c>
      <c r="M74" s="5">
        <v>350</v>
      </c>
    </row>
    <row r="75" spans="12:13" x14ac:dyDescent="0.3">
      <c r="L75" s="5">
        <v>74</v>
      </c>
      <c r="M75" s="5">
        <v>355</v>
      </c>
    </row>
    <row r="76" spans="12:13" x14ac:dyDescent="0.3">
      <c r="L76" s="5">
        <v>75</v>
      </c>
      <c r="M76" s="5">
        <v>360</v>
      </c>
    </row>
    <row r="77" spans="12:13" x14ac:dyDescent="0.3">
      <c r="L77" s="5">
        <v>76</v>
      </c>
      <c r="M77" s="5">
        <v>365</v>
      </c>
    </row>
    <row r="78" spans="12:13" x14ac:dyDescent="0.3">
      <c r="L78" s="5">
        <v>77</v>
      </c>
      <c r="M78" s="5">
        <v>370</v>
      </c>
    </row>
    <row r="79" spans="12:13" x14ac:dyDescent="0.3">
      <c r="L79" s="5">
        <v>78</v>
      </c>
      <c r="M79" s="5">
        <v>375</v>
      </c>
    </row>
    <row r="80" spans="12:13" x14ac:dyDescent="0.3">
      <c r="L80" s="5">
        <v>79</v>
      </c>
      <c r="M80" s="5">
        <v>380</v>
      </c>
    </row>
    <row r="81" spans="12:13" x14ac:dyDescent="0.3">
      <c r="L81" s="5">
        <v>80</v>
      </c>
      <c r="M81" s="5">
        <v>385</v>
      </c>
    </row>
    <row r="82" spans="12:13" x14ac:dyDescent="0.3">
      <c r="L82" s="5">
        <v>81</v>
      </c>
      <c r="M82" s="5">
        <v>390</v>
      </c>
    </row>
    <row r="83" spans="12:13" x14ac:dyDescent="0.3">
      <c r="L83" s="5">
        <v>82</v>
      </c>
      <c r="M83" s="5">
        <v>395</v>
      </c>
    </row>
    <row r="84" spans="12:13" x14ac:dyDescent="0.3">
      <c r="L84" s="5">
        <v>83</v>
      </c>
      <c r="M84" s="5">
        <v>400</v>
      </c>
    </row>
    <row r="85" spans="12:13" x14ac:dyDescent="0.3">
      <c r="L85" s="5">
        <v>84</v>
      </c>
      <c r="M85" s="5">
        <v>405</v>
      </c>
    </row>
    <row r="86" spans="12:13" x14ac:dyDescent="0.3">
      <c r="L86" s="5">
        <v>85</v>
      </c>
      <c r="M86" s="5">
        <v>410</v>
      </c>
    </row>
    <row r="87" spans="12:13" x14ac:dyDescent="0.3">
      <c r="L87" s="5">
        <v>86</v>
      </c>
      <c r="M87" s="5">
        <v>415</v>
      </c>
    </row>
    <row r="88" spans="12:13" x14ac:dyDescent="0.3">
      <c r="L88" s="5">
        <v>87</v>
      </c>
      <c r="M88" s="5">
        <v>420</v>
      </c>
    </row>
    <row r="89" spans="12:13" x14ac:dyDescent="0.3">
      <c r="L89" s="5">
        <v>88</v>
      </c>
      <c r="M89" s="5">
        <v>425</v>
      </c>
    </row>
    <row r="90" spans="12:13" x14ac:dyDescent="0.3">
      <c r="L90" s="5">
        <v>89</v>
      </c>
      <c r="M90" s="5">
        <v>430</v>
      </c>
    </row>
    <row r="91" spans="12:13" x14ac:dyDescent="0.3">
      <c r="L91" s="5">
        <v>90</v>
      </c>
      <c r="M91" s="5">
        <v>435</v>
      </c>
    </row>
    <row r="92" spans="12:13" x14ac:dyDescent="0.3">
      <c r="L92" s="5">
        <v>91</v>
      </c>
      <c r="M92" s="5">
        <v>440</v>
      </c>
    </row>
    <row r="93" spans="12:13" x14ac:dyDescent="0.3">
      <c r="L93" s="5">
        <v>92</v>
      </c>
      <c r="M93" s="5">
        <v>445</v>
      </c>
    </row>
    <row r="94" spans="12:13" x14ac:dyDescent="0.3">
      <c r="L94" s="5">
        <v>93</v>
      </c>
      <c r="M94" s="5">
        <v>450</v>
      </c>
    </row>
    <row r="95" spans="12:13" x14ac:dyDescent="0.3">
      <c r="L95" s="5">
        <v>94</v>
      </c>
      <c r="M95" s="5">
        <v>455</v>
      </c>
    </row>
    <row r="96" spans="12:13" x14ac:dyDescent="0.3">
      <c r="L96" s="5">
        <v>95</v>
      </c>
      <c r="M96" s="5">
        <v>460</v>
      </c>
    </row>
    <row r="97" spans="12:13" x14ac:dyDescent="0.3">
      <c r="L97" s="5">
        <v>96</v>
      </c>
      <c r="M97" s="5">
        <v>465</v>
      </c>
    </row>
    <row r="98" spans="12:13" x14ac:dyDescent="0.3">
      <c r="L98" s="5">
        <v>97</v>
      </c>
      <c r="M98" s="5">
        <v>470</v>
      </c>
    </row>
    <row r="99" spans="12:13" x14ac:dyDescent="0.3">
      <c r="L99" s="5">
        <v>98</v>
      </c>
      <c r="M99" s="5">
        <v>475</v>
      </c>
    </row>
    <row r="100" spans="12:13" x14ac:dyDescent="0.3">
      <c r="L100" s="5">
        <v>99</v>
      </c>
      <c r="M100" s="5">
        <v>480</v>
      </c>
    </row>
  </sheetData>
  <mergeCells count="1">
    <mergeCell ref="H3:J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07.Stage_Table</vt:lpstr>
      <vt:lpstr>08.Monster_Level_Table</vt:lpstr>
      <vt:lpstr>09.Monster_Table</vt:lpstr>
      <vt:lpstr>10.Monster_Group_Table</vt:lpstr>
      <vt:lpstr>20.Stage_Monste_Lv_Table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2024-11-20T06:39:05Z</dcterms:modified>
</cp:coreProperties>
</file>